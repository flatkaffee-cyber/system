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役員報酬・社保" sheetId="1" r:id="rId5"/>
    <sheet state="visible" name="freee実績" sheetId="2" r:id="rId6"/>
    <sheet state="visible" name="4月" sheetId="3" r:id="rId7"/>
    <sheet state="visible" name="5月" sheetId="4" r:id="rId8"/>
    <sheet state="visible" name="6月" sheetId="5" r:id="rId9"/>
    <sheet state="visible" name="7月" sheetId="6" r:id="rId10"/>
    <sheet state="visible" name="8月" sheetId="7" r:id="rId11"/>
    <sheet state="visible" name="9月" sheetId="8" r:id="rId12"/>
    <sheet state="visible" name="10月" sheetId="9" r:id="rId13"/>
    <sheet state="visible" name="11月" sheetId="10" r:id="rId14"/>
    <sheet state="visible" name="12月" sheetId="11" r:id="rId15"/>
    <sheet state="visible" name="1月" sheetId="12" r:id="rId16"/>
    <sheet state="visible" name="2月" sheetId="13" r:id="rId17"/>
    <sheet state="visible" name="3月" sheetId="14" r:id="rId18"/>
    <sheet state="visible" name="4月日次売上" sheetId="15" r:id="rId19"/>
    <sheet state="visible" name="5月日次売上" sheetId="16" r:id="rId20"/>
    <sheet state="visible" name="6月日次売上" sheetId="17" r:id="rId21"/>
    <sheet state="visible" name="7月日次売上" sheetId="18" r:id="rId22"/>
    <sheet state="visible" name="8月日次売上" sheetId="19" r:id="rId23"/>
    <sheet state="visible" name="9月日次売上" sheetId="20" r:id="rId24"/>
    <sheet state="visible" name="10月日次売上" sheetId="21" r:id="rId25"/>
    <sheet state="visible" name="11月日次売上" sheetId="22" r:id="rId26"/>
    <sheet state="visible" name="12月日次売上" sheetId="23" r:id="rId27"/>
    <sheet state="visible" name="1月日次売上" sheetId="24" r:id="rId28"/>
    <sheet state="visible" name="2月日次売上" sheetId="25" r:id="rId29"/>
    <sheet state="visible" name="3月日次売上" sheetId="26" r:id="rId30"/>
    <sheet state="visible" name="固定資産台帳" sheetId="27" r:id="rId31"/>
    <sheet state="visible" name="メニュー別原価率" sheetId="28" r:id="rId32"/>
    <sheet state="visible" name="仕入先・支払管理" sheetId="29" r:id="rId33"/>
    <sheet state="visible" name="予実管理" sheetId="30" r:id="rId34"/>
    <sheet state="visible" name="売上計画" sheetId="31" r:id="rId35"/>
    <sheet state="visible" name="月次レポート" sheetId="32" r:id="rId36"/>
    <sheet state="visible" name="損益分岐点" sheetId="33" r:id="rId37"/>
    <sheet state="visible" name="年間サマリー" sheetId="34" r:id="rId38"/>
    <sheet state="visible" name="使い方ガイド" sheetId="35" r:id="rId39"/>
  </sheets>
  <definedNames/>
  <calcPr/>
</workbook>
</file>

<file path=xl/sharedStrings.xml><?xml version="1.0" encoding="utf-8"?>
<sst xmlns="http://schemas.openxmlformats.org/spreadsheetml/2006/main" count="3928" uniqueCount="930">
  <si>
    <t>💰 役員報酬・社会保険料 計算シート</t>
  </si>
  <si>
    <t>月額報酬・賞与・経費枠を入力すると、等級表で社保自動計算＋実質手取りも算出されます。</t>
  </si>
  <si>
    <t>■ 保険料率設定（令和8年度 滋賀県）</t>
  </si>
  <si>
    <t>項目</t>
  </si>
  <si>
    <t>率</t>
  </si>
  <si>
    <t>備考</t>
  </si>
  <si>
    <t>健康保険料率（滋賀県R8）</t>
  </si>
  <si>
    <t>令和8年3月分から。協会けんぽ滋賀支部</t>
  </si>
  <si>
    <t>介護保険料率</t>
  </si>
  <si>
    <t>全国一律。40歳以上64歳以下に適用</t>
  </si>
  <si>
    <t>子育て支援金率</t>
  </si>
  <si>
    <t>全国一律。R8年4月分（5月納付）から</t>
  </si>
  <si>
    <t>厚生年金保険料率</t>
  </si>
  <si>
    <t>全国一律（法定）</t>
  </si>
  <si>
    <t>子ども・子育て拠出金率</t>
  </si>
  <si>
    <t>事業主のみ負担（本人負担なし）</t>
  </si>
  <si>
    <t>データソース: 協会けんぽ R8保険料額表、厚労省（2026年2月時点）</t>
  </si>
  <si>
    <t>※ 令和8年4月からは防衛特別法人税（法人税額の4%）も加算。本シートでは未反映</t>
  </si>
  <si>
    <t>■ 役員報酬設定（月額・手入力）</t>
  </si>
  <si>
    <t>坂本</t>
  </si>
  <si>
    <t>櫻井</t>
  </si>
  <si>
    <t>町田</t>
  </si>
  <si>
    <t>月額報酬（定期同額給与）</t>
  </si>
  <si>
    <t>毎月同額。年度途中変更不可</t>
  </si>
  <si>
    <t>年齢（40歳以上なら介護保険）</t>
  </si>
  <si>
    <t>いいえ</t>
  </si>
  <si>
    <t>40〜64歳は介護保険対象</t>
  </si>
  <si>
    <t>介護保険 対象？（自動判定）</t>
  </si>
  <si>
    <t>自動</t>
  </si>
  <si>
    <t>flat.で社保加入？</t>
  </si>
  <si>
    <t>はい</t>
  </si>
  <si>
    <t>いいえ=国保+国民年金</t>
  </si>
  <si>
    <t>年間賞与（事前確定届出給与）</t>
  </si>
  <si>
    <t>年1回想定。届出額と1円違うと全額否認</t>
  </si>
  <si>
    <t>■ 標準報酬月額 等級表（健康保険1-30等級 / 厚生年金1-27等級）</t>
  </si>
  <si>
    <t>健保等級</t>
  </si>
  <si>
    <t>厚年等級</t>
  </si>
  <si>
    <t>標準報酬月額</t>
  </si>
  <si>
    <t>報酬月額 下限</t>
  </si>
  <si>
    <t>報酬月額 上限</t>
  </si>
  <si>
    <t>■ 社会保険料 計算（月次）</t>
  </si>
  <si>
    <t>合計</t>
  </si>
  <si>
    <t>月額報酬から自動判定（加入していない人は0）</t>
  </si>
  <si>
    <t xml:space="preserve">  健康保険料（月額、会社+本人）</t>
  </si>
  <si>
    <t>介護対象者は+1.62%</t>
  </si>
  <si>
    <t xml:space="preserve">  子育て支援金（月額、会社+本人）</t>
  </si>
  <si>
    <t>R8年4月分（5月納付）から開始</t>
  </si>
  <si>
    <t xml:space="preserve">  厚生年金保険料（月額、会社+本人）</t>
  </si>
  <si>
    <t>法定率18.3%</t>
  </si>
  <si>
    <t xml:space="preserve">  子ども・子育て拠出金（会社のみ）</t>
  </si>
  <si>
    <t>全額会社負担（本人負担なし）</t>
  </si>
  <si>
    <t>【月額】社会保険料 合計（会社+本人）</t>
  </si>
  <si>
    <t>── 本人負担（給与から天引き）</t>
  </si>
  <si>
    <t xml:space="preserve">  本人負担（月額）</t>
  </si>
  <si>
    <t>── 会社負担（経費計上）</t>
  </si>
  <si>
    <t xml:space="preserve">  会社負担（月額）</t>
  </si>
  <si>
    <t>■ 賞与の社会保険料（年1回想定）</t>
  </si>
  <si>
    <t>標準賞与額（1000円未満切捨）</t>
  </si>
  <si>
    <t>上限: 年累計573万円（健保）、1回150万円（厚年）</t>
  </si>
  <si>
    <t>賞与 社保料（会社+本人）</t>
  </si>
  <si>
    <t xml:space="preserve">  うち会社負担（経費）</t>
  </si>
  <si>
    <t>■ 年間サマリー（会社の総コスト）</t>
  </si>
  <si>
    <t>年間 役員報酬（月額×12）</t>
  </si>
  <si>
    <t>年間 賞与</t>
  </si>
  <si>
    <t>年間 社保 会社負担（月×12 + 賞与分）</t>
  </si>
  <si>
    <t>【年間】会社の総人件費コスト</t>
  </si>
  <si>
    <t>【年間】本人手取り（ざっくり：報酬+賞与 − 社保本人負担 − 所得税住民税10%想定）</t>
  </si>
  <si>
    <t>■ 経費（カテゴリ別 月間予算）</t>
  </si>
  <si>
    <t>役員が実際に使う経費の月額予算。実費精算ベース。</t>
  </si>
  <si>
    <t>※ 領収書必須。日当のみ出張旅費規程で定額OK。社保・所得税の対象外。</t>
  </si>
  <si>
    <t>カテゴリ</t>
  </si>
  <si>
    <t>交通費（実費）</t>
  </si>
  <si>
    <t>電車・バス・ガソリン代の実費</t>
  </si>
  <si>
    <t>出張旅費（実費・遠方）</t>
  </si>
  <si>
    <t>宿泊・遠方移動。櫻井は東京⇔彦根想定</t>
  </si>
  <si>
    <t>日当（出張旅費規程）</t>
  </si>
  <si>
    <t>規程で定額。所得税・社保非課税</t>
  </si>
  <si>
    <t>交際費（接待・取引先）</t>
  </si>
  <si>
    <t>取引先・関係者との会食</t>
  </si>
  <si>
    <t>会議費（社内）</t>
  </si>
  <si>
    <t>1人5千円以下なら全額損金OK</t>
  </si>
  <si>
    <t>通信費（業務用）</t>
  </si>
  <si>
    <t>スマホ業務利用分</t>
  </si>
  <si>
    <t>図書費・研修費</t>
  </si>
  <si>
    <t>書籍・セミナー・視察</t>
  </si>
  <si>
    <t>月間 経費 合計</t>
  </si>
  <si>
    <t>年間 経費 合計（×8ヶ月、8月開業想定）</t>
  </si>
  <si>
    <t>■ 1人あたり 月の実質手取り（参考）</t>
  </si>
  <si>
    <t>※ 所得税・住民税はざっくり10%想定。税理士相談時に精緻化</t>
  </si>
  <si>
    <t>月額役員報酬</t>
  </si>
  <si>
    <t>＋ 月間経費</t>
  </si>
  <si>
    <t>− 月額 社保 本人負担</t>
  </si>
  <si>
    <t>− 月額 所得税住民税（報酬の10%想定）</t>
  </si>
  <si>
    <t>【月】実質手取り相当額</t>
  </si>
  <si>
    <t>■ 月別労働時間 実績記録（1年目）</t>
  </si>
  <si>
    <t>毎月の労働時間を実績で記入。翌年度の役員報酬上乗せ枠の算出に使用。</t>
  </si>
  <si>
    <t>※ 1,080円/h で評価。労働対価は1年目の口座流出にはカウントしない（記録のみ）</t>
  </si>
  <si>
    <t>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</si>
  <si>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</si>
  <si>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</si>
  <si>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</si>
  <si>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</si>
  <si>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</si>
  <si>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</si>
  <si>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</si>
  <si>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</si>
  <si>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年間合計</t>
  </si>
  <si>
    <t>評価額(×1,080)</t>
  </si>
  <si>
    <t>坂本 労働時間/月</t>
  </si>
  <si>
    <t>櫻井 労働時間/月</t>
  </si>
  <si>
    <t>町田 労働時間/月</t>
  </si>
  <si>
    <t>■ 翌年精算枠（翌年度の役員報酬上乗せ計算）</t>
  </si>
  <si>
    <t>1年目の労働評価額 − 1年目に使った経費 = 翌年度に上乗せできる枠</t>
  </si>
  <si>
    <t>※ この枠を12分割して翌年の月額役員報酬に上乗せ（定期同額給与のルールを守れる）</t>
  </si>
  <si>
    <t>① 1年目 労働評価額</t>
  </si>
  <si>
    <t>② 1年目 使用経費（年間合計）</t>
  </si>
  <si>
    <t>③ 翌年精算枠（① − ②）</t>
  </si>
  <si>
    <t>④ 翌年 月額上乗せ（③ ÷ 12ヶ月）</t>
  </si>
  <si>
    <t>⑤ 翌年 月額役員報酬目安（62,000 + ④）</t>
  </si>
  <si>
    <t>■ 使い方</t>
  </si>
  <si>
    <t>① 月の役員報酬（C17-E17）は全員62,000円固定</t>
  </si>
  <si>
    <t>② 経費カテゴリ別の月間予算（C列-E列）に実費の見込み額を入力</t>
  </si>
  <si>
    <t>③ 1年目は毎月、実際の労働時間を「月別労働時間」に入力</t>
  </si>
  <si>
    <t>④ 年度末に「翌年精算枠」で翌年度の役員報酬を確認</t>
  </si>
  <si>
    <t>⑤ 翌年度は ⑤の金額を月額役員報酬として運用</t>
  </si>
  <si>
    <t>【ポイント】</t>
  </si>
  <si>
    <t>・労働対価は1年目の口座流出にはカウントしない</t>
  </si>
  <si>
    <t>・経費は実費精算分のみ口座流出する</t>
  </si>
  <si>
    <t>・年度途中で役員報酬を変えると定期同額給与ルール違反</t>
  </si>
  <si>
    <t>日付</t>
  </si>
  <si>
    <t>年月</t>
  </si>
  <si>
    <t>勘定科目</t>
  </si>
  <si>
    <t>品目</t>
  </si>
  <si>
    <t>金額</t>
  </si>
  <si>
    <t>取引ID</t>
  </si>
  <si>
    <t>※このタブはfreee取込専用。B列「年月」はYYYY-MM形式の文字列で入れること（例: 2026-08）。月次シートのSUMIFSがこの値で集計する。</t>
  </si>
  <si>
    <t>☕ カフェ経営管理  ─  4月</t>
  </si>
  <si>
    <t>■ 計画値（売上計画シートから自動取得）</t>
  </si>
  <si>
    <t>月末口座（人件費なし）</t>
  </si>
  <si>
    <t>今月出ていくお金</t>
  </si>
  <si>
    <t>今月の利益</t>
  </si>
  <si>
    <t>来月必要なお金</t>
  </si>
  <si>
    <t>実績の入力時に参考にしてください。差額・達成率も自動表示。</t>
  </si>
  <si>
    <t>■ 資金（期首残高）</t>
  </si>
  <si>
    <t>■ 売上（定期収入）</t>
  </si>
  <si>
    <t>■ 人件費計算</t>
  </si>
  <si>
    <t>科目</t>
  </si>
  <si>
    <t>詳細</t>
  </si>
  <si>
    <t>メモ</t>
  </si>
  <si>
    <t>スタッフ名</t>
  </si>
  <si>
    <t>時給</t>
  </si>
  <si>
    <t>日数</t>
  </si>
  <si>
    <t>時間/日</t>
  </si>
  <si>
    <t>交通費/日</t>
  </si>
  <si>
    <t>小計（給与）</t>
  </si>
  <si>
    <t>小計（交通費）</t>
  </si>
  <si>
    <t>■ 売上</t>
  </si>
  <si>
    <t>自己資金（資本金）</t>
  </si>
  <si>
    <t>ドリンク（コーヒー）</t>
  </si>
  <si>
    <t>計画</t>
  </si>
  <si>
    <t>実績</t>
  </si>
  <si>
    <t>差額</t>
  </si>
  <si>
    <t>達成率</t>
  </si>
  <si>
    <t>追加資金（借入等）</t>
  </si>
  <si>
    <t>ドリンク（紅茶・その他）</t>
  </si>
  <si>
    <t>昼 来客数（季節調整後）/日</t>
  </si>
  <si>
    <t>期首資金 合計</t>
  </si>
  <si>
    <t>フード（軽食）</t>
  </si>
  <si>
    <t>夜 来客数（季節調整後）/日</t>
  </si>
  <si>
    <t>フード（スイーツ）</t>
  </si>
  <si>
    <t>売上合計（月間）</t>
  </si>
  <si>
    <t>■ 原価（売上原価）</t>
  </si>
  <si>
    <t>物販（コーヒー豆・グッズ）</t>
  </si>
  <si>
    <t>客単価</t>
  </si>
  <si>
    <t>テイクアウト</t>
  </si>
  <si>
    <t>コーヒー豆・茶葉</t>
  </si>
  <si>
    <t>売上 合計</t>
  </si>
  <si>
    <t>■ 原価・粗利</t>
  </si>
  <si>
    <t>牛乳・シロップ等</t>
  </si>
  <si>
    <t>原価率</t>
  </si>
  <si>
    <t>フード材料費</t>
  </si>
  <si>
    <t>■ その他収入（不定期）</t>
  </si>
  <si>
    <t>アルバイト給与 合計</t>
  </si>
  <si>
    <t>原価合計</t>
  </si>
  <si>
    <t>包装資材・消耗品</t>
  </si>
  <si>
    <t>粗利益</t>
  </si>
  <si>
    <t>その他原価</t>
  </si>
  <si>
    <t>イベント・貸切</t>
  </si>
  <si>
    <t>■ 固定人件費（役員報酬・社員給与等）</t>
  </si>
  <si>
    <t>原価 合計</t>
  </si>
  <si>
    <t>その他収入②</t>
  </si>
  <si>
    <t>月額</t>
  </si>
  <si>
    <t>■ 経費</t>
  </si>
  <si>
    <t>その他収入</t>
  </si>
  <si>
    <t>役員報酬</t>
  </si>
  <si>
    <t>■ 経費（販管費）</t>
  </si>
  <si>
    <t>その他収入 合計</t>
  </si>
  <si>
    <t>社員給与</t>
  </si>
  <si>
    <t>人件費（バイト+固定）</t>
  </si>
  <si>
    <t>社会保険料（会社負担）</t>
  </si>
  <si>
    <t>固定費（家賃+光熱+通信+保険）</t>
  </si>
  <si>
    <t>家賃</t>
  </si>
  <si>
    <t>固定費</t>
  </si>
  <si>
    <t>売上合計（定期＋不定期）</t>
  </si>
  <si>
    <t>その他人件費</t>
  </si>
  <si>
    <t>消耗品</t>
  </si>
  <si>
    <t>水道光熱費</t>
  </si>
  <si>
    <t>固定人件費 合計</t>
  </si>
  <si>
    <t>経費合計</t>
  </si>
  <si>
    <t>通信費</t>
  </si>
  <si>
    <t>■ 売上KPI</t>
  </si>
  <si>
    <t>保険料</t>
  </si>
  <si>
    <t>指標</t>
  </si>
  <si>
    <t>数値</t>
  </si>
  <si>
    <t>算出方法</t>
  </si>
  <si>
    <t>人件費 総合計</t>
  </si>
  <si>
    <t>■ 営業利益</t>
  </si>
  <si>
    <t>人件費（給与・社保）</t>
  </si>
  <si>
    <t>変動費</t>
  </si>
  <si>
    <t>来客数（人）</t>
  </si>
  <si>
    <t>消耗品費</t>
  </si>
  <si>
    <t>売上÷来客数</t>
  </si>
  <si>
    <t>↑ この金額を左側「人件費（給与・社保）」に転記</t>
  </si>
  <si>
    <t>営業利益</t>
  </si>
  <si>
    <t>広告宣伝費</t>
  </si>
  <si>
    <t>営業日数</t>
  </si>
  <si>
    <t>営業利益率</t>
  </si>
  <si>
    <t>修繕費</t>
  </si>
  <si>
    <t>日商（1日平均売上）</t>
  </si>
  <si>
    <t>売上÷営業日数</t>
  </si>
  <si>
    <t>■ 人件費KPI</t>
  </si>
  <si>
    <t>その他経費</t>
  </si>
  <si>
    <t>原価÷売上</t>
  </si>
  <si>
    <t>減価償却費</t>
  </si>
  <si>
    <t>帳簿上のみ</t>
  </si>
  <si>
    <t>人件費率</t>
  </si>
  <si>
    <t>人件費÷売上</t>
  </si>
  <si>
    <t>経費 合計</t>
  </si>
  <si>
    <t>人時売上高</t>
  </si>
  <si>
    <t>売上÷総労働時間</t>
  </si>
  <si>
    <t>■ 一括経費（設備投資等）</t>
  </si>
  <si>
    <t>■ 月次損益計算</t>
  </si>
  <si>
    <t>■ オーナー人件費 未払い管理</t>
  </si>
  <si>
    <t>予算</t>
  </si>
  <si>
    <t>差額（残）</t>
  </si>
  <si>
    <t>帳簿上は計上、実際の支払いは利益が出てから</t>
  </si>
  <si>
    <t>売上高</t>
  </si>
  <si>
    <t>今月の人件費 支払い？</t>
  </si>
  <si>
    <t>未払い</t>
  </si>
  <si>
    <t>← 「支払い」か「未払い」を入力</t>
  </si>
  <si>
    <t>人件費（帳簿計上額）</t>
  </si>
  <si>
    <t>P/Lに反映</t>
  </si>
  <si>
    <t>実際の支払い額</t>
  </si>
  <si>
    <t>口座から出るお金</t>
  </si>
  <si>
    <t>粗利率</t>
  </si>
  <si>
    <t>今月の未払い額</t>
  </si>
  <si>
    <t>帳簿上は経費だが現金は出ない</t>
  </si>
  <si>
    <t>前月までの未払い累計</t>
  </si>
  <si>
    <t>未払い累計（今月末時点）</t>
  </si>
  <si>
    <t>将来支払う必要のある額</t>
  </si>
  <si>
    <t>過去の未払い分 今月支払額</t>
  </si>
  <si>
    <t>未払い累計から取り崩す場合に入力</t>
  </si>
  <si>
    <t>一括経費 合計</t>
  </si>
  <si>
    <t>コスト合計（原価＋経費＋一括）</t>
  </si>
  <si>
    <t>■ キャッシュフロー（実際のお金の動き）</t>
  </si>
  <si>
    <t>＋ 減価償却費（現金支出なし）</t>
  </si>
  <si>
    <t>損益上の経費だが現金は出ない</t>
  </si>
  <si>
    <t>営業CF</t>
  </si>
  <si>
    <t>実際に営業で増えた現金</t>
  </si>
  <si>
    <t>− 設備投資（一括経費）</t>
  </si>
  <si>
    <t>実際に出ていった現金</t>
  </si>
  <si>
    <t>投資CF</t>
  </si>
  <si>
    <t>設備購入で減った現金</t>
  </si>
  <si>
    <t>追加資金（借入・増資等）</t>
  </si>
  <si>
    <t>財務CF</t>
  </si>
  <si>
    <t>■ 口座残高</t>
  </si>
  <si>
    <t>前月末 口座残高</t>
  </si>
  <si>
    <t>＋ 営業CF</t>
  </si>
  <si>
    <t>＋ 投資CF</t>
  </si>
  <si>
    <t>＋ 財務CF</t>
  </si>
  <si>
    <t>期末 口座残高</t>
  </si>
  <si>
    <t>翌月に繰越</t>
  </si>
  <si>
    <t>【参考】損益と現金の差</t>
  </si>
  <si>
    <t>帳簿上の利益（営業利益）</t>
  </si>
  <si>
    <t>実際の現金増減（CF合計）</t>
  </si>
  <si>
    <t>差額（減価償却＋設備投資）</t>
  </si>
  <si>
    <t>＋なら利益より現金が多い</t>
  </si>
  <si>
    <t>期末口座（人件費なし）</t>
  </si>
  <si>
    <t>3人の給与を払わない場合</t>
  </si>
  <si>
    <t>期末口座（人件費あり）</t>
  </si>
  <si>
    <t>3人に給与を払った場合</t>
  </si>
  <si>
    <t>☕ カフェ経営管理  ─  5月</t>
  </si>
  <si>
    <t>前月繰越金</t>
  </si>
  <si>
    <t>出資金合計300万円(創業メンバー4名による出資)</t>
  </si>
  <si>
    <t>設備購入</t>
  </si>
  <si>
    <t>内装工事</t>
  </si>
  <si>
    <t>その他一括経費</t>
  </si>
  <si>
    <t>許認可・法人設立費</t>
  </si>
  <si>
    <t>設立6万+印鑑1万+飲食1.8万+菓子1.6万+衛生1万</t>
  </si>
  <si>
    <t>☕ カフェ経営管理  ─  6月</t>
  </si>
  <si>
    <t>敷金（5ヶ月分）</t>
  </si>
  <si>
    <t>北棟</t>
  </si>
  <si>
    <t>礼金（2ヶ月分）</t>
  </si>
  <si>
    <t>仲介手数料</t>
  </si>
  <si>
    <t>1ヶ月分</t>
  </si>
  <si>
    <t>エスプレッソマシン①</t>
  </si>
  <si>
    <t>La Marzocco Linea Classic S-2（中古）</t>
  </si>
  <si>
    <t>保険（火災・施設賠償・PL）</t>
  </si>
  <si>
    <t>3種 各15,000円/年</t>
  </si>
  <si>
    <t>製氷機</t>
  </si>
  <si>
    <t>ダイワ DRI-25LME1（中古）</t>
  </si>
  <si>
    <t>コーヒーグラインダー</t>
  </si>
  <si>
    <t>Mazzer Super Jolly（中古）</t>
  </si>
  <si>
    <t>内装工事着工</t>
  </si>
  <si>
    <t>☕ カフェ経営管理  ─  7月</t>
  </si>
  <si>
    <t>日本政策金融公庫（300万）</t>
  </si>
  <si>
    <t>トイレ</t>
  </si>
  <si>
    <t>業務用冷蔵庫</t>
  </si>
  <si>
    <t>セカスト</t>
  </si>
  <si>
    <t>冷凍ストッカー</t>
  </si>
  <si>
    <t>浄水器</t>
  </si>
  <si>
    <t>EVERPURE QL3+ESO7</t>
  </si>
  <si>
    <t>2槽シンク＋手洗いシンク</t>
  </si>
  <si>
    <t>保健所要件</t>
  </si>
  <si>
    <t>家具一式（テーブル・椅子・ソファ・照明等）</t>
  </si>
  <si>
    <t>デジタルスケール</t>
  </si>
  <si>
    <t>釣銭＋消耗品</t>
  </si>
  <si>
    <t>釣銭3万+洗剤・ペーパー等2万</t>
  </si>
  <si>
    <t>☕ カフェ経営管理  ─  8月</t>
  </si>
  <si>
    <t>追加資金</t>
  </si>
  <si>
    <t>融資</t>
  </si>
  <si>
    <t>☕ カフェ経営管理  ─  9月</t>
  </si>
  <si>
    <t>クラウドファンディング</t>
  </si>
  <si>
    <t>クラファン100万円入金（9月）</t>
  </si>
  <si>
    <t>☕ カフェ経営管理  ─  10月</t>
  </si>
  <si>
    <t>☕ カフェ経営管理  ─  11月</t>
  </si>
  <si>
    <t>☕ カフェ経営管理  ─  12月</t>
  </si>
  <si>
    <t>☕ カフェ経営管理  ─  1月</t>
  </si>
  <si>
    <t>☕ カフェ経営管理  ─  2月</t>
  </si>
  <si>
    <t>☕ カフェ経営管理  ─  3月</t>
  </si>
  <si>
    <t>☕ 日次売上記録  ─  4月</t>
  </si>
  <si>
    <t>日</t>
  </si>
  <si>
    <t>イベント・その他</t>
  </si>
  <si>
    <t>来客数</t>
  </si>
  <si>
    <t>日計</t>
  </si>
  <si>
    <t>月計</t>
  </si>
  <si>
    <t>月次シートへの連携</t>
  </si>
  <si>
    <t>→ 4月 H5</t>
  </si>
  <si>
    <t>→ 4月 H6</t>
  </si>
  <si>
    <t>→ 4月 H7</t>
  </si>
  <si>
    <t>→ 4月 H8</t>
  </si>
  <si>
    <t>物販</t>
  </si>
  <si>
    <t>→ 4月 H9</t>
  </si>
  <si>
    <t>→ 4月 H10</t>
  </si>
  <si>
    <t>→ 4月 H15</t>
  </si>
  <si>
    <t>来客数合計</t>
  </si>
  <si>
    <t>→ 4月 H24</t>
  </si>
  <si>
    <t>☕ 日次売上記録  ─  5月</t>
  </si>
  <si>
    <t>→ 5月 H5</t>
  </si>
  <si>
    <t>→ 5月 H6</t>
  </si>
  <si>
    <t>→ 5月 H7</t>
  </si>
  <si>
    <t>→ 5月 H8</t>
  </si>
  <si>
    <t>→ 5月 H9</t>
  </si>
  <si>
    <t>→ 5月 H10</t>
  </si>
  <si>
    <t>→ 5月 H15</t>
  </si>
  <si>
    <t>→ 5月 H24</t>
  </si>
  <si>
    <t>☕ 日次売上記録  ─  6月</t>
  </si>
  <si>
    <t>→ 6月 H5</t>
  </si>
  <si>
    <t>→ 6月 H6</t>
  </si>
  <si>
    <t>→ 6月 H7</t>
  </si>
  <si>
    <t>→ 6月 H8</t>
  </si>
  <si>
    <t>→ 6月 H9</t>
  </si>
  <si>
    <t>→ 6月 H10</t>
  </si>
  <si>
    <t>→ 6月 H15</t>
  </si>
  <si>
    <t>→ 6月 H24</t>
  </si>
  <si>
    <t>☕ 日次売上記録  ─  7月</t>
  </si>
  <si>
    <t>→ 7月 H5</t>
  </si>
  <si>
    <t>→ 7月 H6</t>
  </si>
  <si>
    <t>→ 7月 H7</t>
  </si>
  <si>
    <t>→ 7月 H8</t>
  </si>
  <si>
    <t>→ 7月 H9</t>
  </si>
  <si>
    <t>→ 7月 H10</t>
  </si>
  <si>
    <t>→ 7月 H15</t>
  </si>
  <si>
    <t>→ 7月 H24</t>
  </si>
  <si>
    <t>☕ 日次売上記録  ─  8月</t>
  </si>
  <si>
    <t>→ 8月 H5</t>
  </si>
  <si>
    <t>→ 8月 H6</t>
  </si>
  <si>
    <t>→ 8月 H7</t>
  </si>
  <si>
    <t>→ 8月 H8</t>
  </si>
  <si>
    <t>→ 8月 H9</t>
  </si>
  <si>
    <t>→ 8月 H10</t>
  </si>
  <si>
    <t>→ 8月 H15</t>
  </si>
  <si>
    <t>→ 8月 H24</t>
  </si>
  <si>
    <t>☕ 日次売上記録  ─  9月</t>
  </si>
  <si>
    <t>→ 9月 H5</t>
  </si>
  <si>
    <t>→ 9月 H6</t>
  </si>
  <si>
    <t>→ 9月 H7</t>
  </si>
  <si>
    <t>→ 9月 H8</t>
  </si>
  <si>
    <t>→ 9月 H9</t>
  </si>
  <si>
    <t>→ 9月 H10</t>
  </si>
  <si>
    <t>→ 9月 H15</t>
  </si>
  <si>
    <t>→ 9月 H24</t>
  </si>
  <si>
    <t>☕ 日次売上記録  ─  10月</t>
  </si>
  <si>
    <t>→ 10月 H5</t>
  </si>
  <si>
    <t>→ 10月 H6</t>
  </si>
  <si>
    <t>→ 10月 H7</t>
  </si>
  <si>
    <t>→ 10月 H8</t>
  </si>
  <si>
    <t>→ 10月 H9</t>
  </si>
  <si>
    <t>→ 10月 H10</t>
  </si>
  <si>
    <t>→ 10月 H15</t>
  </si>
  <si>
    <t>→ 10月 H24</t>
  </si>
  <si>
    <t>☕ 日次売上記録  ─  11月</t>
  </si>
  <si>
    <t>→ 11月 H5</t>
  </si>
  <si>
    <t>→ 11月 H6</t>
  </si>
  <si>
    <t>→ 11月 H7</t>
  </si>
  <si>
    <t>→ 11月 H8</t>
  </si>
  <si>
    <t>→ 11月 H9</t>
  </si>
  <si>
    <t>→ 11月 H10</t>
  </si>
  <si>
    <t>→ 11月 H15</t>
  </si>
  <si>
    <t>→ 11月 H24</t>
  </si>
  <si>
    <t>☕ 日次売上記録  ─  12月</t>
  </si>
  <si>
    <t>→ 12月 H5</t>
  </si>
  <si>
    <t>→ 12月 H6</t>
  </si>
  <si>
    <t>→ 12月 H7</t>
  </si>
  <si>
    <t>→ 12月 H8</t>
  </si>
  <si>
    <t>→ 12月 H9</t>
  </si>
  <si>
    <t>→ 12月 H10</t>
  </si>
  <si>
    <t>→ 12月 H15</t>
  </si>
  <si>
    <t>→ 12月 H24</t>
  </si>
  <si>
    <t>☕ 日次売上記録  ─  1月</t>
  </si>
  <si>
    <t>→ 1月 H5</t>
  </si>
  <si>
    <t>→ 1月 H6</t>
  </si>
  <si>
    <t>→ 1月 H7</t>
  </si>
  <si>
    <t>→ 1月 H8</t>
  </si>
  <si>
    <t>→ 1月 H9</t>
  </si>
  <si>
    <t>→ 1月 H10</t>
  </si>
  <si>
    <t>→ 1月 H15</t>
  </si>
  <si>
    <t>→ 1月 H24</t>
  </si>
  <si>
    <t>☕ 日次売上記録  ─  2月</t>
  </si>
  <si>
    <t>→ 2月 H5</t>
  </si>
  <si>
    <t>→ 2月 H6</t>
  </si>
  <si>
    <t>→ 2月 H7</t>
  </si>
  <si>
    <t>→ 2月 H8</t>
  </si>
  <si>
    <t>→ 2月 H9</t>
  </si>
  <si>
    <t>→ 2月 H10</t>
  </si>
  <si>
    <t>→ 2月 H15</t>
  </si>
  <si>
    <t>→ 2月 H24</t>
  </si>
  <si>
    <t>☕ 日次売上記録  ─  3月</t>
  </si>
  <si>
    <t>→ 3月 H5</t>
  </si>
  <si>
    <t>→ 3月 H6</t>
  </si>
  <si>
    <t>→ 3月 H7</t>
  </si>
  <si>
    <t>→ 3月 H8</t>
  </si>
  <si>
    <t>→ 3月 H9</t>
  </si>
  <si>
    <t>→ 3月 H10</t>
  </si>
  <si>
    <t>→ 3月 H15</t>
  </si>
  <si>
    <t>→ 3月 H24</t>
  </si>
  <si>
    <t>☕ 固定資産台帳 ─ 減価償却自動計算</t>
  </si>
  <si>
    <t>青文字セルに入力 → 月額償却費が自動計算 → 各月タブの減価償却費に自動反映</t>
  </si>
  <si>
    <t>■ 固定資産一覧</t>
  </si>
  <si>
    <t>■ 月別償却額</t>
  </si>
  <si>
    <t>資産名</t>
  </si>
  <si>
    <t>取得年月</t>
  </si>
  <si>
    <t>取得価額</t>
  </si>
  <si>
    <t>耐用年数
（年）</t>
  </si>
  <si>
    <t>残存価額</t>
  </si>
  <si>
    <t>償却方法</t>
  </si>
  <si>
    <t>年間償却額</t>
  </si>
  <si>
    <t>月額償却費</t>
  </si>
  <si>
    <t>4月</t>
  </si>
  <si>
    <t>5月</t>
  </si>
  <si>
    <t>6月</t>
  </si>
  <si>
    <t>7月</t>
  </si>
  <si>
    <t>エスプレッソマシン（La Marzocco）</t>
  </si>
  <si>
    <t>機械・備品</t>
  </si>
  <si>
    <t>2026/06</t>
  </si>
  <si>
    <t>定額法</t>
  </si>
  <si>
    <t>コーヒーグラインダー（Mazzer）</t>
  </si>
  <si>
    <t>製氷機（ダイワ DRI-25LME1）</t>
  </si>
  <si>
    <t>ガス高速オーブン（リンナイ）</t>
  </si>
  <si>
    <t>内装工事（壁塗装・床）</t>
  </si>
  <si>
    <t>建物付属設備</t>
  </si>
  <si>
    <t>■ 資産サマリー</t>
  </si>
  <si>
    <t>固定資産 取得価額合計</t>
  </si>
  <si>
    <t>年間 減価償却費合計</t>
  </si>
  <si>
    <t>月額 減価償却費合計</t>
  </si>
  <si>
    <t>【使い方】</t>
  </si>
  <si>
    <t>① 資産名・取得価額・耐用年数を入力（青文字セル）</t>
  </si>
  <si>
    <t>② 残存価額がある場合は入力（通常は0円 or 取得価額の10%）</t>
  </si>
  <si>
    <t>③ 月額が自動計算され、各月タブの「減価償却費」に反映</t>
  </si>
  <si>
    <t>【耐用年数の目安（カフェ関連）】</t>
  </si>
  <si>
    <t xml:space="preserve">  エスプレッソマシン・グラインダー … 5〜6年（機械・備品）</t>
  </si>
  <si>
    <t xml:space="preserve">  業務用冷蔵庫・製氷機 … 6年（機械・備品）</t>
  </si>
  <si>
    <t xml:space="preserve">  内装工事 … 賃借期間 or 10〜15年（建物付属設備）</t>
  </si>
  <si>
    <t xml:space="preserve">  POS・レジ・タブレット … 4〜5年（器具・備品）</t>
  </si>
  <si>
    <t xml:space="preserve">  テーブル・椅子 … 5〜8年（器具・備品）</t>
  </si>
  <si>
    <t xml:space="preserve">  看板 … 3〜10年（構築物）</t>
  </si>
  <si>
    <t>【注意】</t>
  </si>
  <si>
    <t xml:space="preserve">  ・現在は定額法のみ対応しています</t>
  </si>
  <si>
    <t xml:space="preserve">  ・10万円未満は一括経費計上が可能です（少額減価償却資産）</t>
  </si>
  <si>
    <t xml:space="preserve">  ・30万円未満は中小企業の特例で一括経費にできる場合があります</t>
  </si>
  <si>
    <t xml:space="preserve">  ・詳細は税理士にご確認ください</t>
  </si>
  <si>
    <t>☕ メニュー別原価率表（flat. 確定メニュー）</t>
  </si>
  <si>
    <t>Notionの確定メニュー（2026/3/30更新）に基づく</t>
  </si>
  <si>
    <t>■ ドリンク（10種＋ミルク変更3種）</t>
  </si>
  <si>
    <t>■ 原価率の目安</t>
  </si>
  <si>
    <t>メニュー名</t>
  </si>
  <si>
    <t>売価</t>
  </si>
  <si>
    <t>原価</t>
  </si>
  <si>
    <t>ドリンク</t>
  </si>
  <si>
    <t>フード</t>
  </si>
  <si>
    <t>ドリップコーヒー</t>
  </si>
  <si>
    <t>◎ 優秀</t>
  </si>
  <si>
    <t>〜25%</t>
  </si>
  <si>
    <t>〜40%</t>
  </si>
  <si>
    <t>カフェラテ（牛乳）</t>
  </si>
  <si>
    <t>○ 良好</t>
  </si>
  <si>
    <t>25〜35%</t>
  </si>
  <si>
    <t>40〜50%</t>
  </si>
  <si>
    <t xml:space="preserve">  └ アーモンドミルク変更（+80円）</t>
  </si>
  <si>
    <t>+80</t>
  </si>
  <si>
    <t>+40</t>
  </si>
  <si>
    <t>カフェラテに+変更料金</t>
  </si>
  <si>
    <t>△ 要改善</t>
  </si>
  <si>
    <t>35〜45%</t>
  </si>
  <si>
    <t>50〜60%</t>
  </si>
  <si>
    <t xml:space="preserve">  └ オーツミルク変更（+80円）</t>
  </si>
  <si>
    <t>+50</t>
  </si>
  <si>
    <t>✕ 危険</t>
  </si>
  <si>
    <t>45%〜</t>
  </si>
  <si>
    <t>60%〜</t>
  </si>
  <si>
    <t xml:space="preserve">  └ 豆乳変更（+50円）</t>
  </si>
  <si>
    <t>+10</t>
  </si>
  <si>
    <t>アイスアメリカーノ</t>
  </si>
  <si>
    <t>エスプレッソ</t>
  </si>
  <si>
    <t>【原価率改善のヒント】</t>
  </si>
  <si>
    <t>抹茶ラテ</t>
  </si>
  <si>
    <t>・高原価メニューと低原価メニューをセットにする</t>
  </si>
  <si>
    <t>ティー</t>
  </si>
  <si>
    <t>・ドリンクは原価率が低いので客単価UPの柱</t>
  </si>
  <si>
    <t>チャイ</t>
  </si>
  <si>
    <t>・フードは廃棄ロスも考慮して原価率＋5%で見る</t>
  </si>
  <si>
    <t>ココア</t>
  </si>
  <si>
    <t>・季節メニューで食材の安い時期を活用</t>
  </si>
  <si>
    <t>牛乳</t>
  </si>
  <si>
    <t>・仕入先の見直し（まとめ買い、業務用）</t>
  </si>
  <si>
    <t>オレンジジュース</t>
  </si>
  <si>
    <t>ドリンク平均</t>
  </si>
  <si>
    <t>■ スイーツ（4種・全て自家製）</t>
  </si>
  <si>
    <t>バスクチーズケーキ ★看板</t>
  </si>
  <si>
    <t>バナナクランブルマフィン</t>
  </si>
  <si>
    <t>チョコクッキー ★利益貢献</t>
  </si>
  <si>
    <t>季節のパウンドケーキ</t>
  </si>
  <si>
    <t>スイーツ平均</t>
  </si>
  <si>
    <t>■ セットメニュー</t>
  </si>
  <si>
    <t>ドリンク＋スイーツ セット</t>
  </si>
  <si>
    <t>客単価目標: ¥850（ドリンクのみ3割＋セット5割＋複数注文2割の加重平均）</t>
  </si>
  <si>
    <t>※ Notion「📁 04_カフェ運営・R&amp;D」確定メニュー（2026/3/30更新）に基づく</t>
  </si>
  <si>
    <t>※ Notion確定メニューには「フード（軽食）」がない（スイーツのみ）。月次・日次の「フード（軽食）」枠は将来メニュー拡張用</t>
  </si>
  <si>
    <t>☕ 仕入先・支払管理表</t>
  </si>
  <si>
    <t>仕入先ごとの取引条件と支払スケジュールを管理</t>
  </si>
  <si>
    <t>■ 仕入先マスタ</t>
  </si>
  <si>
    <t>仕入先名</t>
  </si>
  <si>
    <t>担当者</t>
  </si>
  <si>
    <t>電話番号</t>
  </si>
  <si>
    <t>締め日</t>
  </si>
  <si>
    <t>支払日</t>
  </si>
  <si>
    <t>支払方法</t>
  </si>
  <si>
    <t>月額目安</t>
  </si>
  <si>
    <t>コーヒー豆卸</t>
  </si>
  <si>
    <t>コーヒー豆</t>
  </si>
  <si>
    <t>月末</t>
  </si>
  <si>
    <t>翌月末</t>
  </si>
  <si>
    <t>振込</t>
  </si>
  <si>
    <t>牛乳配達</t>
  </si>
  <si>
    <t>乳製品</t>
  </si>
  <si>
    <t>翌月15日</t>
  </si>
  <si>
    <t>パン卸</t>
  </si>
  <si>
    <t>フード材料</t>
  </si>
  <si>
    <t>毎週</t>
  </si>
  <si>
    <t>翌週</t>
  </si>
  <si>
    <t>現金</t>
  </si>
  <si>
    <t>製菓材料店</t>
  </si>
  <si>
    <t>包装資材</t>
  </si>
  <si>
    <t>資材</t>
  </si>
  <si>
    <t>清掃業者</t>
  </si>
  <si>
    <t>外注</t>
  </si>
  <si>
    <t>■ 月次支払スケジュール</t>
  </si>
  <si>
    <t>仕入先</t>
  </si>
  <si>
    <t>内容</t>
  </si>
  <si>
    <t>ステータス</t>
  </si>
  <si>
    <t>支払合計</t>
  </si>
  <si>
    <t>☕ 予実管理（予算 vs 実績）</t>
  </si>
  <si>
    <t>月次の予算を立てて実績と比較。達成率で進捗を管理します。</t>
  </si>
  <si>
    <t>（月名を入力してシートを参照）</t>
  </si>
  <si>
    <t>対象月：</t>
  </si>
  <si>
    <t>■ 月次予実比較</t>
  </si>
  <si>
    <t>■ 年間 売上予実推移</t>
  </si>
  <si>
    <t>差異</t>
  </si>
  <si>
    <t>売上予算</t>
  </si>
  <si>
    <t>売上実績</t>
  </si>
  <si>
    <t>人件費</t>
  </si>
  <si>
    <t>利益予算</t>
  </si>
  <si>
    <t>利益実績</t>
  </si>
  <si>
    <t>一括経費</t>
  </si>
  <si>
    <t>☕ 売上計画（来客数→売上→人件費→利益 自動計算）</t>
  </si>
  <si>
    <t>目標来客数を入力するだけで、人件費・利益計画が自動で立てられます</t>
  </si>
  <si>
    <t>■ 基本設定</t>
  </si>
  <si>
    <t>昼カフェ客単価</t>
  </si>
  <si>
    <t>9:00-18:00</t>
  </si>
  <si>
    <t>夜カフェ客単価</t>
  </si>
  <si>
    <t>18:00-24:00（アルコール込み）</t>
  </si>
  <si>
    <t>昼 営業日数 ※注: 月次シートH26を参照（自動）</t>
  </si>
  <si>
    <t>月次シート各月!H26の平均（参考表示）</t>
  </si>
  <si>
    <t>夜 営業日数 ※注: 月次シートH26を参照（自動）</t>
  </si>
  <si>
    <t>昼夜同じ日数で運営する想定</t>
  </si>
  <si>
    <t>原材料費率</t>
  </si>
  <si>
    <t>昼の営業時間</t>
  </si>
  <si>
    <t>h（9:00-18:00）</t>
  </si>
  <si>
    <t>夜の営業時間</t>
  </si>
  <si>
    <t>h（18:00-24:00）</t>
  </si>
  <si>
    <t>■ 来客数→必要人員テーブル（昼）</t>
  </si>
  <si>
    <t>来客数/日</t>
  </si>
  <si>
    <t>必要人員</t>
  </si>
  <si>
    <t>考え方</t>
  </si>
  <si>
    <t>0〜15人</t>
  </si>
  <si>
    <t>ワンオペ</t>
  </si>
  <si>
    <t>16〜30人</t>
  </si>
  <si>
    <t>1人フル + 1人ハーフ</t>
  </si>
  <si>
    <t>31〜40人</t>
  </si>
  <si>
    <t>2人フル</t>
  </si>
  <si>
    <t>41人〜</t>
  </si>
  <si>
    <t>2人フル + 1人ハーフ</t>
  </si>
  <si>
    <t>■ 来客数→必要人員テーブル（夜）</t>
  </si>
  <si>
    <t>0〜10人</t>
  </si>
  <si>
    <t>11〜20人</t>
  </si>
  <si>
    <t>21〜25人</t>
  </si>
  <si>
    <t>26人〜</t>
  </si>
  <si>
    <t>■ 目標来客数（人/日）を入力</t>
  </si>
  <si>
    <t>平均</t>
  </si>
  <si>
    <t>🟢 楽観（昼）</t>
  </si>
  <si>
    <t>🟡 標準（昼）</t>
  </si>
  <si>
    <t>🔴 保守（昼）</t>
  </si>
  <si>
    <t>★ 昼カフェ目標</t>
  </si>
  <si>
    <t>🟢 楽観（夜）</t>
  </si>
  <si>
    <t>🟡 標準（夜）</t>
  </si>
  <si>
    <t>🔴 保守（夜）</t>
  </si>
  <si>
    <t>★ 夜カフェ目標</t>
  </si>
  <si>
    <t>↓ 上の目標 × 季節変動係数 = 調整後の来客目標 ↓</t>
  </si>
  <si>
    <t>★ 昼 季節調整済み目標</t>
  </si>
  <si>
    <t>★ 夜 季節調整済み目標</t>
  </si>
  <si>
    <t>月間来客数（昼+夜）= 1日あたり×営業日数</t>
  </si>
  <si>
    <t>■ 売上計画（自動計算）</t>
  </si>
  <si>
    <t>昼カフェ売上</t>
  </si>
  <si>
    <t>夜カフェ売上</t>
  </si>
  <si>
    <t>売上合計</t>
  </si>
  <si>
    <t>原価（30%）</t>
  </si>
  <si>
    <t>■ 人件費計画（アルバイトのみ、オーナー労働分は人件費にカウントしない）</t>
  </si>
  <si>
    <t>スタッフ（昼）必要人員/日</t>
  </si>
  <si>
    <t>スタッフ（夜）必要人員/日</t>
  </si>
  <si>
    <t>必要総労働時間（昼）</t>
  </si>
  <si>
    <t>必要総労働時間（夜）</t>
  </si>
  <si>
    <t>営業時間外労働時間/日（仕込み・締めなど）</t>
  </si>
  <si>
    <t>営業時間外労働時間 合計/月</t>
  </si>
  <si>
    <t>アルバイトに働いてもらう時間</t>
  </si>
  <si>
    <t>人件費（アルバイト分のみ）</t>
  </si>
  <si>
    <t>（参考）オーナーがカバーする時間</t>
  </si>
  <si>
    <t>経費合計（人件費+固定費+消耗品）</t>
  </si>
  <si>
    <t>営業利益（粗利益 − 経費合計）</t>
  </si>
  <si>
    <t>■ 月末口座残高（4-9月=月次シート実績、10月以降=計画ベースで自動算出）</t>
  </si>
  <si>
    <t>営業利益（R62、参考）</t>
  </si>
  <si>
    <t>役員報酬＋社保（参考、月次固定支出）</t>
  </si>
  <si>
    <t>一括経費（参考、設備投資など）</t>
  </si>
  <si>
    <t>【月末口座残高】</t>
  </si>
  <si>
    <t>※ 4-9月（緑）: 月次シートI75の実績値 / 10-3月（橙）: 前月末 + 営業利益 − 役員報酬 − 社保 − 一括経費</t>
  </si>
  <si>
    <t>※ 役員報酬＋社保: 月173,750円（坂本50,000+櫻井20,000+町田50,000=120,000＋社保会社負担25,343）</t>
  </si>
  <si>
    <t>※ 10月以降の数字を変えたい場合: R62 営業利益を見直すか、R77-R79の月次値を直接修正</t>
  </si>
  <si>
    <t>③ 102行: バイト給与を入力 → 追加の人件費として口座から出る</t>
  </si>
  <si>
    <t>④ 115行: 口座残高が自動計算。色で経営状態がわかる（🔴&lt;1倍 / 🟡&lt;2.5倍 / 🟢≥6倍）</t>
  </si>
  <si>
    <t>■ 役員報酬・社保の使い方</t>
  </si>
  <si>
    <t>⑤ 役員報酬は「役員報酬・社保」シートで月額を設定 → R165-180で月次展開</t>
  </si>
  <si>
    <t>⑥ C167 で開始月を切替（開業月8月=5、6月なら3）</t>
  </si>
  <si>
    <t>⑦ C168 で「未払い」を選ぶと口座から出ない（帳簿上は経費計上）</t>
  </si>
  <si>
    <t>⑧ 未払い運用時、役員報酬未払い累計は R182 に表示される</t>
  </si>
  <si>
    <t>⑨ 社保は帳簿上は発生ベースだが、実務上は未払いにすれば納付も翌月以降にズラせる（税理士相談）</t>
  </si>
  <si>
    <t>⑩ R103-105（出資額返済）も未払いで運用可。1年目は返済ゼロが現実的</t>
  </si>
  <si>
    <t>⑪ 法人税試算 R183-188: 1年目赤字なら法人税ゼロ、10年繰越可</t>
  </si>
  <si>
    <t>桜まつり＋新学期</t>
  </si>
  <si>
    <t>GW＋好気候</t>
  </si>
  <si>
    <t>梅雨・観光客減</t>
  </si>
  <si>
    <t>猛暑・鳥人間</t>
  </si>
  <si>
    <t>お盆・花火・夏休み</t>
  </si>
  <si>
    <t>5連休(2026)・行楽</t>
  </si>
  <si>
    <t>秋の行楽・修学旅行</t>
  </si>
  <si>
    <t>紅葉ライトアップ</t>
  </si>
  <si>
    <t>忘年会・クリスマス</t>
  </si>
  <si>
    <t>積雪・閑散期</t>
  </si>
  <si>
    <t>ニッパチ・年間最低</t>
  </si>
  <si>
    <t>桜前・歓送迎会</t>
  </si>
  <si>
    <t>昼カフェの根拠</t>
  </si>
  <si>
    <t>彦根城4月入場87,420人(年間最大)。桜まつり+新学期+新歓。キャッスルロード回遊ピーク</t>
  </si>
  <si>
    <t>GW需要。彦根城69,308人。にぎわい市(~5/6)。好気候で散策客多い</t>
  </si>
  <si>
    <t>梅雨入り。彦根城37,496人(4月の43%)。テラス席利用不可。地元住民のルーチン利用のみ</t>
  </si>
  <si>
    <t>猛暑(最高32℃超)。彦根城33,854人(年間最低級)。学生試験期間→勉強利用(低単価)</t>
  </si>
  <si>
    <t>お盆帰省+夏休み観光客。彦根城62,333人。8/22彦根花火。避暑需要でカフェ利用増</t>
  </si>
  <si>
    <t>2026年は5連休(シルバーウィーク)。彦根城43,683人。秋の行楽開始</t>
  </si>
  <si>
    <t>紅葉前の行楽。彦根城58,076人。修学旅行シーズン。学生の課外活動再開(10月新学期)</t>
  </si>
  <si>
    <t>紅葉ライトアップ。彦根城74,524人(第2ピーク)。11/21-23の3連休と重なる</t>
  </si>
  <si>
    <t>冬の冷え込みで昼の散策客減。彦根城44,781人。中旬以降の急激な冷え込み</t>
  </si>
  <si>
    <t>積雪(月平均36cm・雪日数17.6日)。彦根城34,456人。学生試験→帰省。物理的に来店困難</t>
  </si>
  <si>
    <t>ニッパチ。彦根城33,261人(年間最少)。積雪+学生春休み+観光客ゼロの三重苦</t>
  </si>
  <si>
    <t>下旬から桜まつり開始(3/28~)。彦根城57,063人。歓送迎会シーズン開始</t>
  </si>
  <si>
    <t>夜カフェの根拠</t>
  </si>
  <si>
    <t>新歓・サークル需要。夜桜ライトアップで夕方以降の人出が増える</t>
  </si>
  <si>
    <t>GWの夜間外出。気候が良く夜カフェ日和。学生のGW集まり</t>
  </si>
  <si>
    <t>梅雨でも夜は影響少なめ。ただし学生の外出意欲がやや低下</t>
  </si>
  <si>
    <t>鳥人間コンテスト(7月下旬)の宿泊客。夏の夜の外出需要。学生試験打ち上げ</t>
  </si>
  <si>
    <t>8/22彦根花火→年間最大スパイク。お盆の帰省客の夜の集まり。ただし学生は夏休みで不在</t>
  </si>
  <si>
    <t>5連休の夜間レジャー。ただし学生はまだ夏休み(9月末まで)</t>
  </si>
  <si>
    <t>学生の新学期(10月)→サークル・ゼミの飲み会再開。秋のイベント後の夜利用</t>
  </si>
  <si>
    <t>紅葉ライトアップ拝観後の来店。3連休の夜の観光客利用</t>
  </si>
  <si>
    <t>忘年会・クリスマス需要(夜カフェ年間最大)。年末の仕事納め後の利用</t>
  </si>
  <si>
    <t>積雪で夜間外出を極端に控える。正月三が日のみ多賀大社参拝客がわずかに来る程度</t>
  </si>
  <si>
    <t>積雪+極寒で夜間外出ほぼなし。学生不在(春休み)。年間最低</t>
  </si>
  <si>
    <t>歓送迎会の二次会・三次会需要。学生の卒業パーティー。桜まつりの夜桜ライトアップ開始</t>
  </si>
  <si>
    <t>彦根城入場者数</t>
  </si>
  <si>
    <t>※ 係数を1.0にすると季節調整なし（ベース目標がそのまま使われます）</t>
  </si>
  <si>
    <t>※ データソース: 彦根城入場者統計、日本フードサービス協会、気象庁彦根平年値、滋賀大学学事暦</t>
  </si>
  <si>
    <t>■ 役員報酬＋社会保険（月次発生、役員報酬・社保シートから自動連動）</t>
  </si>
  <si>
    <t>営業開始月を切り替えられます。開業前（4-5月）は役員報酬なしでも可</t>
  </si>
  <si>
    <t>役員報酬 開始月（1=4月, 3=6月, 5=8月など）</t>
  </si>
  <si>
    <t>← 数字を変えると、その月から役員報酬・社保が計上される</t>
  </si>
  <si>
    <t>※ 役員報酬は毎月計上＆口座流出（定期同額給与のため）</t>
  </si>
  <si>
    <t>月番号</t>
  </si>
  <si>
    <t>坂本 役員報酬</t>
  </si>
  <si>
    <t>櫻井 役員報酬</t>
  </si>
  <si>
    <t>町田 役員報酬</t>
  </si>
  <si>
    <t>役員報酬 合計</t>
  </si>
  <si>
    <t>社保 会社負担 合計</t>
  </si>
  <si>
    <t>賞与（事前確定届出給与）※3月支給想定</t>
  </si>
  <si>
    <t>賞与の社保 会社負担</t>
  </si>
  <si>
    <t>【会社負担】役員報酬＋社保＋賞与＋経費＋業務委託</t>
  </si>
  <si>
    <t>役員報酬 未払い額（今月分）</t>
  </si>
  <si>
    <t>役員報酬 未払い累計</t>
  </si>
  <si>
    <t>■ 法人税 ざっくり試算</t>
  </si>
  <si>
    <t>※ 赤字なら法人税ゼロ。10年繰越可能。以下は利益が出た場合の目安</t>
  </si>
  <si>
    <t>帳簿上の年間営業利益</t>
  </si>
  <si>
    <t>売上計画O60より</t>
  </si>
  <si>
    <t>− 役員報酬・賞与・社保・経費（全て損金算入）</t>
  </si>
  <si>
    <t>↑ 営業利益にはまだ含まれていない場合の控除</t>
  </si>
  <si>
    <t>課税所得（概算）</t>
  </si>
  <si>
    <t>法人税等（実効税率 25%=所得800万以下 / 30%=それ超）</t>
  </si>
  <si>
    <t>税引後利益</t>
  </si>
  <si>
    <t>■ 経費（役員労働対価相当）月次反映</t>
  </si>
  <si>
    <t>役員報酬・社保シートR112の月間経費合計を、開始月以降に展開</t>
  </si>
  <si>
    <t>坂本 経費（経費枠ベース）</t>
  </si>
  <si>
    <t>櫻井 経費（経費枠ベース）</t>
  </si>
  <si>
    <t>町田 経費（経費枠ベース）</t>
  </si>
  <si>
    <t>國仲 業務委託費(週20h×時給1,080円)</t>
  </si>
  <si>
    <t>■ 出資額返済＋オーナー報酬</t>
  </si>
  <si>
    <t>Phase1: 坂本・櫻井が各50万を先行回収 → Phase2: 3人で残り各50万を利益配分で回収 → Phase3: 配分方針を会議で決定</t>
  </si>
  <si>
    <t>坂本（出資額返済）</t>
  </si>
  <si>
    <t>櫻井（出資額返済）</t>
  </si>
  <si>
    <t>町田（出資額返済）</t>
  </si>
  <si>
    <t>返済・報酬 合計</t>
  </si>
  <si>
    <t>☕ 月次経営レポート（自動集計）</t>
  </si>
  <si>
    <t>各月タブから自動で数値を取得。月末に確認するだけでOK</t>
  </si>
  <si>
    <t>■ 売上・利益推移</t>
  </si>
  <si>
    <t>経費（実キャッシュ）</t>
  </si>
  <si>
    <t>一括経費（実績）</t>
  </si>
  <si>
    <t>■ キャッシュフロー推移</t>
  </si>
  <si>
    <t>期末口座残高</t>
  </si>
  <si>
    <t>■ KPI推移</t>
  </si>
  <si>
    <t>日商</t>
  </si>
  <si>
    <t>■ 前月比（売上）</t>
  </si>
  <si>
    <t>売上 前月比</t>
  </si>
  <si>
    <t>口座残高 前月比</t>
  </si>
  <si>
    <t>☕ 損益分岐点分析</t>
  </si>
  <si>
    <t>「何杯売れば黒字か」「1日いくら売れば赤字にならないか」を計算</t>
  </si>
  <si>
    <t>■ 基本情報（月次）</t>
  </si>
  <si>
    <t>■ 損益分岐点（結果）</t>
  </si>
  <si>
    <t>入力方法</t>
  </si>
  <si>
    <t>手入力 or 年間サマリーから</t>
  </si>
  <si>
    <t>月間 損益分岐売上</t>
  </si>
  <si>
    <t>固定費÷（1−原価率）</t>
  </si>
  <si>
    <t>ドリンク比率</t>
  </si>
  <si>
    <t>売上に占めるドリンクの割合</t>
  </si>
  <si>
    <t>日次 損益分岐売上</t>
  </si>
  <si>
    <t>月間BEP÷営業日数</t>
  </si>
  <si>
    <t>平均原価率</t>
  </si>
  <si>
    <t>メニュー別原価率を参考に</t>
  </si>
  <si>
    <t>日次 必要客数</t>
  </si>
  <si>
    <t>日次BEP÷客単価</t>
  </si>
  <si>
    <t>月間固定費</t>
  </si>
  <si>
    <t>下の固定費合計を参照</t>
  </si>
  <si>
    <t>月間 必要客数</t>
  </si>
  <si>
    <t>日次客数×営業日数</t>
  </si>
  <si>
    <t>月間営業日数</t>
  </si>
  <si>
    <t>通常25〜28日</t>
  </si>
  <si>
    <t>安全余裕率</t>
  </si>
  <si>
    <t>現在の売上がBEPからどれだけ余裕があるか</t>
  </si>
  <si>
    <t>■ 月間固定費の内訳</t>
  </si>
  <si>
    <t>■ シミュレーション</t>
  </si>
  <si>
    <t>仮に月の売上がこれだけあったら…</t>
  </si>
  <si>
    <t>営業中月の平均値</t>
  </si>
  <si>
    <t>月間売上</t>
  </si>
  <si>
    <t>利益</t>
  </si>
  <si>
    <t>判定</t>
  </si>
  <si>
    <t>その他固定費</t>
  </si>
  <si>
    <t>固定費 合計</t>
  </si>
  <si>
    <t>→ 上の「月間固定費」に転記</t>
  </si>
  <si>
    <t>■ 客単価を変えたら？</t>
  </si>
  <si>
    <t>日次必要客数</t>
  </si>
  <si>
    <t>月間必要客数</t>
  </si>
  <si>
    <t>☕ 年間サマリー（自動集計）</t>
  </si>
  <si>
    <t>期首資金</t>
  </si>
  <si>
    <t>期末残高</t>
  </si>
  <si>
    <t>■ キャッシュフロー</t>
  </si>
  <si>
    <t>CF合計</t>
  </si>
  <si>
    <t>☕ flat. 経営管理スプレッドシート 使い方ガイド</t>
  </si>
  <si>
    <t>v13 (2026/4/29更新): 役員報酬・社保連動、月次⇄売上計画 連動、損益分岐点修正など</t>
  </si>
  <si>
    <t>■ 1. シート構成</t>
  </si>
  <si>
    <t xml:space="preserve">  役員報酬・社保</t>
  </si>
  <si>
    <t>【新規】3人の月額報酬・賞与・経費枠を入力 → 社保自動計算＋実質手取り</t>
  </si>
  <si>
    <t xml:space="preserve">  4月〜3月（月次）</t>
  </si>
  <si>
    <t>実績入力＋右側に計画値ブロック（U列以降）</t>
  </si>
  <si>
    <t xml:space="preserve">  〇月日次売上</t>
  </si>
  <si>
    <t>日々の売上カテゴリ別記録（C-J列）。月計が月次シートH列に自動連携</t>
  </si>
  <si>
    <t xml:space="preserve">  売上計画</t>
  </si>
  <si>
    <t>マスタシート: 来客数→売上→人件費→利益 自動計算</t>
  </si>
  <si>
    <t xml:space="preserve">  予実管理</t>
  </si>
  <si>
    <t>F3に対象月入力 → 売上計画から予算自動取得、月次から実績自動取得</t>
  </si>
  <si>
    <t xml:space="preserve">  損益分岐点</t>
  </si>
  <si>
    <t>客単価・原価率・固定費から月間BEP売上・必要客数を算出</t>
  </si>
  <si>
    <t xml:space="preserve">  メニュー別原価率</t>
  </si>
  <si>
    <t>Notion確定メニュー（10ドリンク+4スイーツ）の売価・原価・原価率</t>
  </si>
  <si>
    <t xml:space="preserve">  固定資産台帳</t>
  </si>
  <si>
    <t>設備の取得価額・耐用年数→月額減価償却を自動計算（月次C29に反映）</t>
  </si>
  <si>
    <t xml:space="preserve">  仕入先・支払管理</t>
  </si>
  <si>
    <t>仕入先別の締日・支払日・支払予定額の管理</t>
  </si>
  <si>
    <t xml:space="preserve">  月次レポート</t>
  </si>
  <si>
    <t>月次シートの主要指標を一覧表示</t>
  </si>
  <si>
    <t xml:space="preserve">  年間サマリー</t>
  </si>
  <si>
    <t>12ヶ月の推移を一覧表示</t>
  </si>
  <si>
    <t>■ 2. 入力セルの色</t>
  </si>
  <si>
    <t xml:space="preserve">  🟡 黄色背景</t>
  </si>
  <si>
    <t>ユーザー手入力セル（料率、報酬額、来客数目標など）</t>
  </si>
  <si>
    <t xml:space="preserve">  ⚪ グレー背景</t>
  </si>
  <si>
    <t>自動計算セル（数式が入っているので変更不可）</t>
  </si>
  <si>
    <t xml:space="preserve">  🟢 薄緑背景</t>
  </si>
  <si>
    <t>計画値ブロック（売上計画から自動取得）</t>
  </si>
  <si>
    <t xml:space="preserve">  🟠 オレンジ背景</t>
  </si>
  <si>
    <t>合計・重要指標</t>
  </si>
  <si>
    <t xml:space="preserve">  🔴 赤字</t>
  </si>
  <si>
    <t>警告・注意事項</t>
  </si>
  <si>
    <t>■ 3. 役員報酬・社会保険の入力（重要）</t>
  </si>
  <si>
    <t xml:space="preserve">  STEP 1: 「役員報酬・社保」シートで料率を確認（C7-C11、滋賀県R8デフォルト）</t>
  </si>
  <si>
    <t xml:space="preserve">  STEP 2: 3人の月額報酬を入力（C17-E17、定期同額給与なので毎月同額）</t>
  </si>
  <si>
    <t xml:space="preserve">  STEP 3: 年齢設定（40-64歳は「はい」、介護保険対象）</t>
  </si>
  <si>
    <t xml:space="preserve">  STEP 4: flat.で社保加入するかを選択（國仲は副業先確認後に決定）</t>
  </si>
  <si>
    <t xml:space="preserve">  STEP 5: 賞与（事前確定届出給与）を入力（年1回想定、3月支給）</t>
  </si>
  <si>
    <t xml:space="preserve">  STEP 6: 「売上計画」シートのR165-180で月次反映を確認</t>
  </si>
  <si>
    <t xml:space="preserve">  - C167: 開始月（5=8月、開業時）</t>
  </si>
  <si>
    <t xml:space="preserve">  - C168: 「未払い」or「支払う」を選択</t>
  </si>
  <si>
    <t xml:space="preserve">  STEP 7: 法人税試算 R183-189 で税負担を確認</t>
  </si>
  <si>
    <t xml:space="preserve">  STEP 8: 「経費枠」の労働時間を入力（C97-E97、坂本10h/國仲25h/町田70h）</t>
  </si>
  <si>
    <t xml:space="preserve">  STEP 9: 経費上限が自動計算（労働時間×1,080円/h）→ R100に表示</t>
  </si>
  <si>
    <t xml:space="preserve">  STEP 10: カテゴリ別の月間予算を配分（C105-E111、7カテゴリ）</t>
  </si>
  <si>
    <t xml:space="preserve">  STEP 11: 上限チェック（R113）でマイナスなら配分超過 → 再調整</t>
  </si>
  <si>
    <t xml:space="preserve">  STEP 12: 実質手取り R123（月）, R125（年）で1人あたりの手取り感確認</t>
  </si>
  <si>
    <t xml:space="preserve">  【経費枠 = 役員労働対価相当】</t>
  </si>
  <si>
    <t xml:space="preserve">  ・経費は社保・所得税の対象外なので「実質的な手取りに近い」性質</t>
  </si>
  <si>
    <t xml:space="preserve">  ・税務上「労働対価」とは認められないが、実費精算なら問題なし</t>
  </si>
  <si>
    <t xml:space="preserve">  ・労働量の差を経費枠で吸収（町田70h → 75,600円/月、坂本10h → 10,800円/月）</t>
  </si>
  <si>
    <t xml:space="preserve">  ・全カテゴリ「実費」が原則。日当だけは出張旅費規程で定額OK</t>
  </si>
  <si>
    <t xml:space="preserve">  ・領収書を保管 / 業務按分が必要なものは記録を残す</t>
  </si>
  <si>
    <t xml:space="preserve">  【ポイント】</t>
  </si>
  <si>
    <t xml:space="preserve">  ・月額報酬を変えると、社保料・年間総コストが自動再計算</t>
  </si>
  <si>
    <t xml:space="preserve">  ・「未払い」運用なら口座残高に影響しない（帳簿のみ計上）</t>
  </si>
  <si>
    <t xml:space="preserve">  ・実支払いするなら口座から差し引かれ、口座残高シミュレーションR123に反映</t>
  </si>
  <si>
    <t xml:space="preserve">  ■ 4. 月次の運用フロー</t>
  </si>
  <si>
    <t xml:space="preserve">  ① 〇月日次売上シートに毎日のカテゴリ別売上を入力</t>
  </si>
  <si>
    <t xml:space="preserve">     来客数（J列）も忘れずに記録</t>
  </si>
  <si>
    <t>【決算期】</t>
  </si>
  <si>
    <t xml:space="preserve">  ⑨ 役員報酬の未払い累計を確認（売上計画R182）</t>
  </si>
  <si>
    <t xml:space="preserve">  ⑩ 法人税試算（売上計画R183-189）</t>
  </si>
  <si>
    <t xml:space="preserve">  ⑪ 税理士に決算依頼（必須）</t>
  </si>
  <si>
    <t>■ 5. 重要な注意事項</t>
  </si>
  <si>
    <t xml:space="preserve">  ⚠ 役員報酬は「定期同額給与」: 年度途中の変更は原則不可（変更する場合は税理士相談）</t>
  </si>
  <si>
    <t xml:space="preserve">  ⚠ 賞与は「事前確定届出給与」: 届出額と1円でも違うと全額否認</t>
  </si>
  <si>
    <t xml:space="preserve">  ⚠ 出資額の取扱: 役員借入金として処理（金銭消費貸借契約書が必要）</t>
  </si>
  <si>
    <t xml:space="preserve">  ⚠ 社保料の納付は発生ベース: 帳簿上未払いでも、毎月キャッシュで納付必要</t>
  </si>
  <si>
    <t xml:space="preserve">  ⚠ 1年目の出資額返済: 利益が薄いので「ゼロ」または「最小」が無難（R103-105）</t>
  </si>
  <si>
    <t xml:space="preserve">  ⚠ クラウドファンディング50万: 8月入金、商品発送義務あり（経費・原価に含める）</t>
  </si>
  <si>
    <t xml:space="preserve">  ⚠ 防衛特別法人税（2026年4月以降）: 法人税額の4%が追加。本シートでは未反映</t>
  </si>
  <si>
    <t xml:space="preserve">  ⚠ 季節変動係数: 桜まつり（4月）・紅葉ライトアップ（11月）は彦根観光の繁忙期</t>
  </si>
  <si>
    <t>■ 6. データの流れ</t>
  </si>
  <si>
    <t>【マスタ → 月次】</t>
  </si>
  <si>
    <t xml:space="preserve">  売上計画（来客数・客単価・原価率） ─→ 月次シート計画値ブロック（U列以降）</t>
  </si>
  <si>
    <t xml:space="preserve">  役員報酬・社保（月額・賞与・経費） ─→ 売上計画R165-197 ─→ 口座残高シミュR120</t>
  </si>
  <si>
    <t xml:space="preserve">  固定資産台帳 ─→ 月次C29（減価償却）</t>
  </si>
  <si>
    <t>【月次（実績） → 集計】</t>
  </si>
  <si>
    <t xml:space="preserve">  日次売上（C-J列） ─→ 月次H5-H10（売上カテゴリ別）</t>
  </si>
  <si>
    <t xml:space="preserve">  バイト時間入力（M-R列） ─→ 月次C24（人件費）</t>
  </si>
  <si>
    <t xml:space="preserve">  各月!I39（営業利益）, I75（期末口座） ─→ 月次レポート、年間サマリー</t>
  </si>
  <si>
    <t>【ループ確認】</t>
  </si>
  <si>
    <t xml:space="preserve">  売上計画R56 = 月次C20+C21+C22+C23（固定費） ※片方向のみ、循環なし</t>
  </si>
  <si>
    <t>■ 7. v13 修正履歴（v12からの変更点）</t>
  </si>
  <si>
    <t>【🆕 新規追加】</t>
  </si>
  <si>
    <t xml:space="preserve">  ・役員報酬・社保シート: 滋賀県R8料率（健保9.88%）で正確計算</t>
  </si>
  <si>
    <t xml:space="preserve">  ・売上計画 R165-189: 役員報酬月次展開＋法人税試算</t>
  </si>
  <si>
    <t xml:space="preserve">  ・月次シート U列以降: 計画 vs 実績 比較ブロック</t>
  </si>
  <si>
    <t>【🔴 重大バグ修正】</t>
  </si>
  <si>
    <t xml:space="preserve">  ・売上計画 R81-85: 実績利益・利益達成率の参照誤り</t>
  </si>
  <si>
    <t xml:space="preserve">  ・売上計画 R89 O89: 町田の年間合計が國仲を参照</t>
  </si>
  <si>
    <t xml:space="preserve">  ・売上計画 O96-98: 年間合計の参照誤り</t>
  </si>
  <si>
    <t xml:space="preserve">  ・6月!E45,E47-E52: 参照エラー（#で始まるエラー値）</t>
  </si>
  <si>
    <t xml:space="preserve">  ・損益分岐点 G7,G8,G9: 日次BEP・必要客数の参照誤り</t>
  </si>
  <si>
    <t>【🟡 整合性修正】</t>
  </si>
  <si>
    <t xml:space="preserve">  ・出資額: 4月150万 + 6月100万 + 8月50万（クラファン） = 285万</t>
  </si>
  <si>
    <t xml:space="preserve">  ・営業日数 H26: 8月以降に実日数（30/31/28）</t>
  </si>
  <si>
    <t xml:space="preserve">  ・予実管理: F3の月から自動取得（売上計画＋月次）</t>
  </si>
  <si>
    <t xml:space="preserve">  ・損益分岐点: 客単価・固定費を自動取得</t>
  </si>
  <si>
    <t xml:space="preserve">  ・年間サマリー R21: I58 → I75</t>
  </si>
  <si>
    <t xml:space="preserve">  ・売上計画 R43,R44: 営業日数を月次H26から動的取得（月別実日数）</t>
  </si>
  <si>
    <t>【🟢 改善】</t>
  </si>
  <si>
    <t xml:space="preserve">  ・通信費5,000円/月（8月以降）</t>
  </si>
  <si>
    <t xml:space="preserve">  ・メニュー名統一（日次⇔月次⇔売上計画）</t>
  </si>
  <si>
    <t xml:space="preserve">  ・ミルク変更3種の表記補完</t>
  </si>
  <si>
    <t xml:space="preserve">  ・損益分岐点: 人件費=営業中月の平均、減価償却=月額</t>
  </si>
  <si>
    <t xml:space="preserve">  ・使い方ガイド全面リライト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</si>
</sst>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#,##0;[RED]\-#,##0;\-"/>
    <numFmt numFmtId="165" formatCode="yyyy-mm-dd"/>
    <numFmt numFmtId="166" formatCode="#,##0\円;\(#,##0&quot;円)&quot;;\-"/>
    <numFmt numFmtId="167" formatCode="#,##0;\(#,##0\);\-"/>
    <numFmt numFmtId="168" formatCode="#,##0.0\h;\(#,##0.0&quot;h)&quot;;\-"/>
    <numFmt numFmtId="169" formatCode="0.0%"/>
    <numFmt numFmtId="170" formatCode="0.0%;\(0.0%\);\-"/>
    <numFmt numFmtId="171" formatCode="yyyy/mm"/>
    <numFmt numFmtId="172" formatCode="#,##0\円"/>
    <numFmt numFmtId="173" formatCode="mm/dd"/>
    <numFmt numFmtId="174" formatCode="#,##0.0"/>
    <numFmt numFmtId="175" formatCode="#,##0.0\人"/>
    <numFmt numFmtId="176" formatCode="0.0\人"/>
    <numFmt numFmtId="177" formatCode="#,##0\h;[RED]\-#,##0\h;\-"/>
    <numFmt numFmtId="178" formatCode="0.0\h"/>
    <numFmt numFmtId="179" formatCode="#,##0\人"/>
  </numFmts>
  <fonts count="75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Noto Sans"/>
    </font>
    <font>
      <i/>
      <sz val="9.0"/>
      <color rgb="FF666666"/>
      <name val="Noto Sans"/>
    </font>
    <font>
      <b/>
      <sz val="11.0"/>
      <color theme="1"/>
      <name val="Noto Sans"/>
    </font>
    <font>
      <sz val="11.0"/>
      <color theme="1"/>
      <name val="Noto Sans"/>
    </font>
    <font>
      <i/>
      <sz val="9.0"/>
      <color rgb="FF999999"/>
      <name val="Noto Sans"/>
    </font>
    <font>
      <i/>
      <sz val="9.0"/>
      <color rgb="FF666666"/>
      <name val="Cambria"/>
    </font>
    <font>
      <b/>
      <sz val="11.0"/>
      <color theme="1"/>
      <name val="Cambria"/>
    </font>
    <font>
      <b/>
      <i/>
      <sz val="11.0"/>
      <color theme="1"/>
      <name val="Noto Sans"/>
    </font>
    <font>
      <i/>
      <sz val="11.0"/>
      <color theme="1"/>
      <name val="Noto Sans"/>
    </font>
    <font>
      <i/>
      <sz val="11.0"/>
      <color theme="1"/>
      <name val="Cambria"/>
    </font>
    <font>
      <sz val="11.0"/>
      <color theme="1"/>
      <name val="Cambria"/>
    </font>
    <font>
      <b/>
      <sz val="10.0"/>
      <color theme="1"/>
      <name val="Noto Sans"/>
    </font>
    <font>
      <b/>
      <color theme="1"/>
      <name val="Calibri"/>
      <scheme val="minor"/>
    </font>
    <font>
      <color theme="1"/>
      <name val="Calibri"/>
      <scheme val="minor"/>
    </font>
    <font>
      <b/>
      <sz val="14.0"/>
      <color rgb="FF3E2723"/>
      <name val="Noto Sans"/>
    </font>
    <font>
      <b/>
      <sz val="12.0"/>
      <color rgb="FF2E7D32"/>
      <name val="Noto Sans"/>
    </font>
    <font/>
    <font>
      <b/>
      <sz val="8.0"/>
      <color rgb="FF888888"/>
      <name val="Noto Sans"/>
    </font>
    <font>
      <b/>
      <sz val="14.0"/>
      <color rgb="FF00695C"/>
      <name val="Arial"/>
    </font>
    <font>
      <b/>
      <sz val="9.0"/>
      <color rgb="FF888888"/>
      <name val="Noto Sans"/>
    </font>
    <font>
      <b/>
      <sz val="14.0"/>
      <color rgb="FFE65100"/>
      <name val="Arial"/>
    </font>
    <font>
      <b/>
      <sz val="14.0"/>
      <color rgb="FF3E2723"/>
      <name val="Arial"/>
    </font>
    <font>
      <sz val="10.0"/>
      <color rgb="FF008000"/>
      <name val="Arial"/>
    </font>
    <font>
      <b/>
      <sz val="11.0"/>
      <color rgb="FFFFFFFF"/>
      <name val="Noto Sans"/>
    </font>
    <font>
      <b/>
      <sz val="10.0"/>
      <color rgb="FFFFFFFF"/>
      <name val="Noto Sans"/>
    </font>
    <font>
      <sz val="10.0"/>
      <color rgb="FF000000"/>
      <name val="Noto Sans"/>
    </font>
    <font>
      <sz val="10.0"/>
      <color rgb="FF0000FF"/>
      <name val="Arial"/>
    </font>
    <font>
      <sz val="9.0"/>
      <color rgb="FF888888"/>
      <name val="Noto Sans"/>
    </font>
    <font>
      <sz val="10.0"/>
      <color rgb="FF000000"/>
      <name val="Arial"/>
    </font>
    <font>
      <sz val="10.0"/>
      <color rgb="FF0000FF"/>
      <name val="Noto Sans"/>
    </font>
    <font>
      <b/>
      <sz val="10.0"/>
      <color rgb="FF000000"/>
      <name val="Noto Sans"/>
    </font>
    <font>
      <b/>
      <sz val="10.0"/>
      <color rgb="FF000000"/>
      <name val="Arial"/>
    </font>
    <font>
      <sz val="8.0"/>
      <color rgb="FF888888"/>
      <name val="Noto Sans"/>
    </font>
    <font>
      <b/>
      <sz val="11.0"/>
      <color rgb="FFFFFFFF"/>
      <name val="Arial"/>
    </font>
    <font>
      <sz val="9.0"/>
      <color rgb="FF888888"/>
      <name val="Arial"/>
    </font>
    <font>
      <b/>
      <sz val="11.0"/>
      <color rgb="FF5D4037"/>
      <name val="Noto Sans"/>
    </font>
    <font>
      <b/>
      <sz val="10.0"/>
      <color rgb="FF4A148C"/>
      <name val="Arial"/>
    </font>
    <font>
      <b/>
      <sz val="11.0"/>
      <color rgb="FF3E2723"/>
      <name val="Noto Sans"/>
    </font>
    <font>
      <b/>
      <sz val="11.0"/>
      <color rgb="FF3E2723"/>
      <name val="Arial"/>
    </font>
    <font>
      <b/>
      <sz val="11.0"/>
      <color rgb="FF4A148C"/>
      <name val="Noto Sans"/>
    </font>
    <font>
      <b/>
      <sz val="11.0"/>
      <color rgb="FF4A148C"/>
      <name val="Arial"/>
    </font>
    <font>
      <b/>
      <sz val="12.0"/>
      <color rgb="FFFFFFFF"/>
      <name val="Noto Sans"/>
    </font>
    <font>
      <b/>
      <sz val="12.0"/>
      <color rgb="FFFFFFFF"/>
      <name val="Arial"/>
    </font>
    <font>
      <b/>
      <sz val="9.0"/>
      <color rgb="FFE0F2F1"/>
      <name val="Noto Sans"/>
    </font>
    <font>
      <b/>
      <sz val="11.0"/>
      <color rgb="FF00695C"/>
      <name val="Noto Sans"/>
    </font>
    <font>
      <b/>
      <sz val="11.0"/>
      <color rgb="FF00695C"/>
      <name val="Arial"/>
    </font>
    <font>
      <sz val="11.0"/>
      <color rgb="FF0000FF"/>
      <name val="Noto Sans"/>
    </font>
    <font>
      <sz val="11.0"/>
      <color rgb="FF0000FF"/>
      <name val="Arial"/>
    </font>
    <font>
      <sz val="11.0"/>
      <color theme="1"/>
      <name val="Arial"/>
    </font>
    <font>
      <sz val="10.0"/>
      <color rgb="FF888888"/>
      <name val="Noto Sans"/>
    </font>
    <font>
      <b/>
      <sz val="11.0"/>
      <color rgb="FFE65100"/>
      <name val="Arial"/>
    </font>
    <font>
      <b/>
      <sz val="10.0"/>
      <color rgb="FFFFFFFF"/>
      <name val="Arial"/>
    </font>
    <font>
      <b/>
      <sz val="10.0"/>
      <color rgb="FFE65100"/>
      <name val="Noto Sans"/>
    </font>
    <font>
      <i/>
      <sz val="9.0"/>
      <color rgb="FF999999"/>
      <name val="Cambria"/>
    </font>
    <font>
      <b/>
      <sz val="9.0"/>
      <color rgb="FF5D4037"/>
      <name val="Noto Sans"/>
    </font>
    <font>
      <b/>
      <sz val="10.0"/>
      <color rgb="FF2E7D32"/>
      <name val="Noto Sans"/>
    </font>
    <font>
      <b/>
      <sz val="10.0"/>
      <color rgb="FF2E7D32"/>
      <name val="Arial"/>
    </font>
    <font>
      <b/>
      <sz val="10.0"/>
      <color rgb="FF1565C0"/>
      <name val="Noto Sans"/>
    </font>
    <font>
      <b/>
      <sz val="10.0"/>
      <color rgb="FF1565C0"/>
      <name val="Arial"/>
    </font>
    <font>
      <b/>
      <i/>
      <sz val="11.0"/>
      <color theme="1"/>
      <name val="Cambria"/>
    </font>
    <font>
      <b/>
      <sz val="12.0"/>
      <color theme="1"/>
      <name val="Noto Sans"/>
    </font>
    <font>
      <b/>
      <sz val="8.0"/>
      <color rgb="FF2E7D32"/>
      <name val="Noto Sans"/>
    </font>
    <font>
      <sz val="8.0"/>
      <color rgb="FF888888"/>
      <name val="Arial"/>
    </font>
    <font>
      <b/>
      <sz val="8.0"/>
      <color rgb="FF1565C0"/>
      <name val="Noto Sans"/>
    </font>
    <font>
      <b/>
      <sz val="11.0"/>
      <color rgb="FF1565C0"/>
      <name val="Arial"/>
    </font>
    <font>
      <b/>
      <sz val="12.0"/>
      <color rgb="FFC62828"/>
      <name val="Arial"/>
    </font>
    <font>
      <b/>
      <sz val="10.0"/>
      <color theme="1"/>
      <name val="Arial"/>
    </font>
    <font>
      <b/>
      <sz val="11.0"/>
      <color rgb="FF5D4037"/>
      <name val="Arial"/>
    </font>
    <font>
      <b/>
      <sz val="16.0"/>
      <color rgb="FF2E5F8A"/>
      <name val="Cambria"/>
    </font>
    <font>
      <i/>
      <sz val="10.0"/>
      <color rgb="FF666666"/>
      <name val="Cambria"/>
    </font>
    <font>
      <b/>
      <sz val="12.0"/>
      <color rgb="FF2E5F8A"/>
      <name val="Cambria"/>
    </font>
    <font>
      <sz val="10.0"/>
      <color theme="1"/>
      <name val="Noto Sans"/>
    </font>
    <font>
      <sz val="10.0"/>
      <color theme="1"/>
      <name val="Cambria"/>
    </font>
  </fonts>
  <fills count="35">
    <fill>
      <patternFill patternType="none"/>
    </fill>
    <fill>
      <patternFill patternType="lightGray"/>
    </fill>
    <fill>
      <patternFill patternType="solid">
        <fgColor rgb="FFD0E0F0"/>
        <bgColor rgb="FFD0E0F0"/>
      </patternFill>
    </fill>
    <fill>
      <patternFill patternType="solid">
        <fgColor rgb="FFE8E8E8"/>
        <bgColor rgb="FFE8E8E8"/>
      </patternFill>
    </fill>
    <fill>
      <patternFill patternType="solid">
        <fgColor rgb="FFFFF4D0"/>
        <bgColor rgb="FFFFF4D0"/>
      </patternFill>
    </fill>
    <fill>
      <patternFill patternType="solid">
        <fgColor rgb="FFF5F5F5"/>
        <bgColor rgb="FFF5F5F5"/>
      </patternFill>
    </fill>
    <fill>
      <patternFill patternType="solid">
        <fgColor rgb="FFFFE0B0"/>
        <bgColor rgb="FFFFE0B0"/>
      </patternFill>
    </fill>
    <fill>
      <patternFill patternType="solid">
        <fgColor rgb="FFFFD0D0"/>
        <bgColor rgb="FFFFD0D0"/>
      </patternFill>
    </fill>
    <fill>
      <patternFill patternType="solid">
        <fgColor rgb="FFF1F3F4"/>
        <bgColor rgb="FFF1F3F4"/>
      </patternFill>
    </fill>
    <fill>
      <patternFill patternType="solid">
        <fgColor rgb="FFE0F0E0"/>
        <bgColor rgb="FFE0F0E0"/>
      </patternFill>
    </fill>
    <fill>
      <patternFill patternType="solid">
        <fgColor rgb="FF3E2723"/>
        <bgColor rgb="FF3E2723"/>
      </patternFill>
    </fill>
    <fill>
      <patternFill patternType="solid">
        <fgColor rgb="FF2E7D32"/>
        <bgColor rgb="FF2E7D32"/>
      </patternFill>
    </fill>
    <fill>
      <patternFill patternType="solid">
        <fgColor rgb="FFE65100"/>
        <bgColor rgb="FFE65100"/>
      </patternFill>
    </fill>
    <fill>
      <patternFill patternType="solid">
        <fgColor rgb="FF5D4037"/>
        <bgColor rgb="FF5D4037"/>
      </patternFill>
    </fill>
    <fill>
      <patternFill patternType="solid">
        <fgColor rgb="FFB0D8B0"/>
        <bgColor rgb="FFB0D8B0"/>
      </patternFill>
    </fill>
    <fill>
      <patternFill patternType="solid">
        <fgColor rgb="FFEFEBE9"/>
        <bgColor rgb="FFEFEBE9"/>
      </patternFill>
    </fill>
    <fill>
      <patternFill patternType="solid">
        <fgColor rgb="FFFFF8E1"/>
        <bgColor rgb="FFFFF8E1"/>
      </patternFill>
    </fill>
    <fill>
      <patternFill patternType="solid">
        <fgColor rgb="FFF0F8F0"/>
        <bgColor rgb="FFF0F8F0"/>
      </patternFill>
    </fill>
    <fill>
      <patternFill patternType="solid">
        <fgColor rgb="FFD7CCC8"/>
        <bgColor rgb="FFD7CCC8"/>
      </patternFill>
    </fill>
    <fill>
      <patternFill patternType="solid">
        <fgColor rgb="FFC62828"/>
        <bgColor rgb="FFC62828"/>
      </patternFill>
    </fill>
    <fill>
      <patternFill patternType="solid">
        <fgColor rgb="FFE8F5E9"/>
        <bgColor rgb="FFE8F5E9"/>
      </patternFill>
    </fill>
    <fill>
      <patternFill patternType="solid">
        <fgColor rgb="FF1565C0"/>
        <bgColor rgb="FF1565C0"/>
      </patternFill>
    </fill>
    <fill>
      <patternFill patternType="solid">
        <fgColor rgb="FFF3E5F5"/>
        <bgColor rgb="FFF3E5F5"/>
      </patternFill>
    </fill>
    <fill>
      <patternFill patternType="solid">
        <fgColor rgb="FF4A148C"/>
        <bgColor rgb="FF4A148C"/>
      </patternFill>
    </fill>
    <fill>
      <patternFill patternType="solid">
        <fgColor rgb="FF00695C"/>
        <bgColor rgb="FF00695C"/>
      </patternFill>
    </fill>
    <fill>
      <patternFill patternType="solid">
        <fgColor rgb="FFE0F2F1"/>
        <bgColor rgb="FFE0F2F1"/>
      </patternFill>
    </fill>
    <fill>
      <patternFill patternType="solid">
        <fgColor rgb="FFFFF3E0"/>
        <bgColor rgb="FFFFF3E0"/>
      </patternFill>
    </fill>
    <fill>
      <patternFill patternType="solid">
        <fgColor rgb="FF1A237E"/>
        <bgColor rgb="FF1A237E"/>
      </patternFill>
    </fill>
    <fill>
      <patternFill patternType="solid">
        <fgColor rgb="FFE3F2FD"/>
        <bgColor rgb="FFE3F2FD"/>
      </patternFill>
    </fill>
    <fill>
      <patternFill patternType="solid">
        <fgColor rgb="FFFFEBEE"/>
        <bgColor rgb="FFFFEBEE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FFE066"/>
        <bgColor rgb="FFFFE066"/>
      </patternFill>
    </fill>
    <fill>
      <patternFill patternType="solid">
        <fgColor rgb="FFD0F0D0"/>
        <bgColor rgb="FFD0F0D0"/>
      </patternFill>
    </fill>
    <fill>
      <patternFill patternType="solid">
        <fgColor rgb="FFE8EAF6"/>
        <bgColor rgb="FFE8EAF6"/>
      </patternFill>
    </fill>
  </fills>
  <borders count="15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BCAAA4"/>
      </left>
      <right style="thin">
        <color rgb="FFBCAAA4"/>
      </right>
      <top style="thin">
        <color rgb="FFBCAAA4"/>
      </top>
      <bottom style="thin">
        <color rgb="FFBCAAA4"/>
      </bottom>
    </border>
    <border>
      <left style="thin">
        <color rgb="FFBCAAA4"/>
      </left>
      <right style="thin">
        <color rgb="FFBCAAA4"/>
      </right>
      <top style="thin">
        <color rgb="FFBCAAA4"/>
      </top>
      <bottom style="medium">
        <color rgb="FF3E2723"/>
      </bottom>
    </border>
    <border>
      <left style="thin">
        <color rgb="FFBCAAA4"/>
      </left>
      <right style="thin">
        <color rgb="FFBCAAA4"/>
      </right>
      <top style="thin">
        <color rgb="FFBCAAA4"/>
      </top>
      <bottom style="double">
        <color rgb="FF3E2723"/>
      </bottom>
    </border>
    <border>
      <left style="thin">
        <color rgb="FFBCAAA4"/>
      </left>
      <top style="thin">
        <color rgb="FFBCAAA4"/>
      </top>
      <bottom style="thin">
        <color rgb="FFBCAAA4"/>
      </bottom>
    </border>
    <border>
      <right style="thin">
        <color rgb="FFBCAAA4"/>
      </right>
      <top style="thin">
        <color rgb="FFBCAAA4"/>
      </top>
      <bottom style="thin">
        <color rgb="FFBCAAA4"/>
      </bottom>
    </border>
    <border>
      <left style="thin">
        <color rgb="FFBCAAA4"/>
      </left>
      <right style="thin">
        <color rgb="FFBCAAA4"/>
      </right>
      <top style="thin">
        <color rgb="FFBCAAA4"/>
      </top>
      <bottom/>
    </border>
    <border>
      <left style="thick">
        <color rgb="FF000000"/>
      </left>
      <right style="thin">
        <color rgb="FFBCAAA4"/>
      </right>
      <top style="thick">
        <color rgb="FF000000"/>
      </top>
      <bottom style="thick">
        <color rgb="FF000000"/>
      </bottom>
    </border>
    <border>
      <left style="thin">
        <color rgb="FFBCAAA4"/>
      </left>
      <right style="thin">
        <color rgb="FFBCAAA4"/>
      </right>
      <top style="thick">
        <color rgb="FF000000"/>
      </top>
      <bottom style="thick">
        <color rgb="FF000000"/>
      </bottom>
    </border>
    <border>
      <left style="thin">
        <color rgb="FFBCAAA4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BCAAA4"/>
      </right>
      <top style="thin">
        <color rgb="FFBCAAA4"/>
      </top>
      <bottom style="thin">
        <color rgb="FFBCAAA4"/>
      </bottom>
    </border>
    <border>
      <left style="thin">
        <color rgb="FFBCAAA4"/>
      </left>
      <right style="thin">
        <color rgb="FFBCAAA4"/>
      </right>
      <top/>
      <bottom style="thin">
        <color rgb="FFBCAAA4"/>
      </bottom>
    </border>
  </borders>
  <cellStyleXfs count="1">
    <xf borderId="0" fillId="0" fontId="0" numFmtId="0" applyAlignment="1" applyFont="1"/>
  </cellStyleXfs>
  <cellXfs count="3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1" fillId="4" fontId="1" numFmtId="10" xfId="0" applyAlignment="1" applyBorder="1" applyFill="1" applyFont="1" applyNumberFormat="1">
      <alignment vertical="bottom"/>
    </xf>
    <xf borderId="0" fillId="0" fontId="6" numFmtId="0" xfId="0" applyAlignment="1" applyFont="1">
      <alignment vertical="bottom"/>
    </xf>
    <xf borderId="1" fillId="4" fontId="1" numFmtId="164" xfId="0" applyAlignment="1" applyBorder="1" applyFont="1" applyNumberFormat="1">
      <alignment vertical="bottom"/>
    </xf>
    <xf borderId="1" fillId="4" fontId="5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5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vertical="bottom"/>
    </xf>
    <xf borderId="1" fillId="5" fontId="1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1" fillId="6" fontId="8" numFmtId="164" xfId="0" applyAlignment="1" applyBorder="1" applyFill="1" applyFont="1" applyNumberFormat="1">
      <alignment vertical="bottom"/>
    </xf>
    <xf borderId="0" fillId="0" fontId="9" numFmtId="0" xfId="0" applyAlignment="1" applyFont="1">
      <alignment vertical="bottom"/>
    </xf>
    <xf borderId="1" fillId="6" fontId="1" numFmtId="164" xfId="0" applyAlignment="1" applyBorder="1" applyFont="1" applyNumberFormat="1">
      <alignment vertical="bottom"/>
    </xf>
    <xf borderId="1" fillId="7" fontId="8" numFmtId="164" xfId="0" applyAlignment="1" applyBorder="1" applyFill="1" applyFont="1" applyNumberFormat="1">
      <alignment vertical="bottom"/>
    </xf>
    <xf borderId="0" fillId="0" fontId="10" numFmtId="0" xfId="0" applyAlignment="1" applyFont="1">
      <alignment vertical="bottom"/>
    </xf>
    <xf borderId="1" fillId="5" fontId="11" numFmtId="164" xfId="0" applyAlignment="1" applyBorder="1" applyFont="1" applyNumberFormat="1">
      <alignment vertical="bottom"/>
    </xf>
    <xf borderId="0" fillId="0" fontId="11" numFmtId="164" xfId="0" applyAlignment="1" applyFont="1" applyNumberFormat="1">
      <alignment vertical="bottom"/>
    </xf>
    <xf borderId="0" fillId="0" fontId="12" numFmtId="0" xfId="0" applyAlignment="1" applyFont="1">
      <alignment vertical="bottom"/>
    </xf>
    <xf borderId="1" fillId="3" fontId="4" numFmtId="164" xfId="0" applyAlignment="1" applyBorder="1" applyFont="1" applyNumberFormat="1">
      <alignment vertical="bottom"/>
    </xf>
    <xf borderId="1" fillId="4" fontId="12" numFmtId="164" xfId="0" applyAlignment="1" applyBorder="1" applyFont="1" applyNumberFormat="1">
      <alignment vertical="bottom"/>
    </xf>
    <xf borderId="1" fillId="5" fontId="12" numFmtId="164" xfId="0" applyAlignment="1" applyBorder="1" applyFont="1" applyNumberFormat="1">
      <alignment vertical="bottom"/>
    </xf>
    <xf borderId="0" fillId="0" fontId="12" numFmtId="164" xfId="0" applyAlignment="1" applyFont="1" applyNumberFormat="1">
      <alignment vertical="bottom"/>
    </xf>
    <xf borderId="1" fillId="2" fontId="8" numFmtId="0" xfId="0" applyAlignment="1" applyBorder="1" applyFont="1">
      <alignment vertical="bottom"/>
    </xf>
    <xf borderId="1" fillId="3" fontId="8" numFmtId="164" xfId="0" applyAlignment="1" applyBorder="1" applyFont="1" applyNumberFormat="1">
      <alignment horizontal="center" vertical="bottom"/>
    </xf>
    <xf borderId="1" fillId="3" fontId="8" numFmtId="0" xfId="0" applyAlignment="1" applyBorder="1" applyFont="1">
      <alignment horizontal="center" vertical="bottom"/>
    </xf>
    <xf borderId="1" fillId="4" fontId="12" numFmtId="164" xfId="0" applyAlignment="1" applyBorder="1" applyFont="1" applyNumberFormat="1">
      <alignment horizontal="center" vertical="bottom"/>
    </xf>
    <xf borderId="1" fillId="4" fontId="12" numFmtId="0" xfId="0" applyAlignment="1" applyBorder="1" applyFont="1">
      <alignment horizontal="center" vertical="bottom"/>
    </xf>
    <xf borderId="1" fillId="5" fontId="12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8" fontId="14" numFmtId="165" xfId="0" applyAlignment="1" applyFill="1" applyFont="1" applyNumberFormat="1">
      <alignment readingOrder="0"/>
    </xf>
    <xf borderId="0" fillId="8" fontId="14" numFmtId="49" xfId="0" applyAlignment="1" applyFont="1" applyNumberFormat="1">
      <alignment readingOrder="0"/>
    </xf>
    <xf borderId="0" fillId="8" fontId="14" numFmtId="0" xfId="0" applyAlignment="1" applyFont="1">
      <alignment readingOrder="0"/>
    </xf>
    <xf borderId="0" fillId="8" fontId="14" numFmtId="3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5" numFmtId="165" xfId="0" applyFont="1" applyNumberFormat="1"/>
    <xf borderId="0" fillId="0" fontId="15" numFmtId="49" xfId="0" applyFont="1" applyNumberFormat="1"/>
    <xf borderId="0" fillId="0" fontId="15" numFmtId="3" xfId="0" applyFont="1" applyNumberFormat="1"/>
    <xf borderId="0" fillId="0" fontId="16" numFmtId="0" xfId="0" applyAlignment="1" applyFont="1">
      <alignment horizontal="left" vertical="center"/>
    </xf>
    <xf borderId="2" fillId="9" fontId="17" numFmtId="0" xfId="0" applyAlignment="1" applyBorder="1" applyFill="1" applyFont="1">
      <alignment vertical="bottom"/>
    </xf>
    <xf borderId="3" fillId="0" fontId="18" numFmtId="0" xfId="0" applyBorder="1" applyFont="1"/>
    <xf borderId="0" fillId="0" fontId="19" numFmtId="0" xfId="0" applyAlignment="1" applyFont="1">
      <alignment horizontal="left" vertical="center"/>
    </xf>
    <xf borderId="4" fillId="0" fontId="20" numFmtId="166" xfId="0" applyAlignment="1" applyBorder="1" applyFont="1" applyNumberFormat="1">
      <alignment horizontal="right" vertical="center"/>
    </xf>
    <xf borderId="0" fillId="0" fontId="21" numFmtId="0" xfId="0" applyAlignment="1" applyFont="1">
      <alignment horizontal="left" vertical="center"/>
    </xf>
    <xf borderId="4" fillId="0" fontId="22" numFmtId="166" xfId="0" applyAlignment="1" applyBorder="1" applyFont="1" applyNumberFormat="1">
      <alignment horizontal="right" vertical="center"/>
    </xf>
    <xf borderId="4" fillId="0" fontId="23" numFmtId="166" xfId="0" applyAlignment="1" applyBorder="1" applyFont="1" applyNumberFormat="1">
      <alignment horizontal="right" vertical="center"/>
    </xf>
    <xf borderId="4" fillId="0" fontId="24" numFmtId="166" xfId="0" applyAlignment="1" applyBorder="1" applyFont="1" applyNumberFormat="1">
      <alignment horizontal="right" vertical="center"/>
    </xf>
    <xf borderId="2" fillId="10" fontId="25" numFmtId="0" xfId="0" applyAlignment="1" applyBorder="1" applyFill="1" applyFont="1">
      <alignment horizontal="left" vertical="center"/>
    </xf>
    <xf borderId="2" fillId="11" fontId="25" numFmtId="0" xfId="0" applyAlignment="1" applyBorder="1" applyFill="1" applyFont="1">
      <alignment horizontal="left" vertical="center"/>
    </xf>
    <xf borderId="2" fillId="12" fontId="25" numFmtId="0" xfId="0" applyAlignment="1" applyBorder="1" applyFill="1" applyFont="1">
      <alignment horizontal="left" vertical="center"/>
    </xf>
    <xf borderId="4" fillId="13" fontId="26" numFmtId="0" xfId="0" applyAlignment="1" applyBorder="1" applyFill="1" applyFont="1">
      <alignment horizontal="center" vertical="center"/>
    </xf>
    <xf borderId="2" fillId="14" fontId="4" numFmtId="0" xfId="0" applyAlignment="1" applyBorder="1" applyFill="1" applyFont="1">
      <alignment vertical="bottom"/>
    </xf>
    <xf borderId="4" fillId="15" fontId="27" numFmtId="0" xfId="0" applyAlignment="1" applyBorder="1" applyFill="1" applyFont="1">
      <alignment horizontal="left" vertical="center"/>
    </xf>
    <xf borderId="4" fillId="16" fontId="28" numFmtId="166" xfId="0" applyAlignment="1" applyBorder="1" applyFill="1" applyFont="1" applyNumberFormat="1">
      <alignment horizontal="right" vertical="center"/>
    </xf>
    <xf borderId="4" fillId="0" fontId="28" numFmtId="0" xfId="0" applyAlignment="1" applyBorder="1" applyFont="1">
      <alignment horizontal="left" vertical="center"/>
    </xf>
    <xf borderId="4" fillId="0" fontId="29" numFmtId="0" xfId="0" applyAlignment="1" applyBorder="1" applyFont="1">
      <alignment horizontal="left" shrinkToFit="0" vertical="center" wrapText="1"/>
    </xf>
    <xf borderId="4" fillId="0" fontId="30" numFmtId="0" xfId="0" applyAlignment="1" applyBorder="1" applyFont="1">
      <alignment horizontal="left" shrinkToFit="0" vertical="center" wrapText="1"/>
    </xf>
    <xf borderId="4" fillId="16" fontId="28" numFmtId="167" xfId="0" applyAlignment="1" applyBorder="1" applyFont="1" applyNumberFormat="1">
      <alignment horizontal="right" vertical="center"/>
    </xf>
    <xf borderId="4" fillId="16" fontId="28" numFmtId="168" xfId="0" applyAlignment="1" applyBorder="1" applyFont="1" applyNumberFormat="1">
      <alignment horizontal="right" vertical="center"/>
    </xf>
    <xf borderId="4" fillId="0" fontId="30" numFmtId="166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horizontal="center" vertical="bottom"/>
    </xf>
    <xf borderId="1" fillId="17" fontId="4" numFmtId="0" xfId="0" applyAlignment="1" applyBorder="1" applyFill="1" applyFont="1">
      <alignment horizontal="center" vertical="bottom"/>
    </xf>
    <xf borderId="4" fillId="0" fontId="31" numFmtId="0" xfId="0" applyAlignment="1" applyBorder="1" applyFont="1">
      <alignment horizontal="left" vertical="center"/>
    </xf>
    <xf borderId="1" fillId="17" fontId="1" numFmtId="164" xfId="0" applyAlignment="1" applyBorder="1" applyFont="1" applyNumberFormat="1">
      <alignment vertical="bottom"/>
    </xf>
    <xf borderId="1" fillId="17" fontId="1" numFmtId="0" xfId="0" applyAlignment="1" applyBorder="1" applyFont="1">
      <alignment vertical="bottom"/>
    </xf>
    <xf borderId="1" fillId="17" fontId="1" numFmtId="169" xfId="0" applyAlignment="1" applyBorder="1" applyFont="1" applyNumberFormat="1">
      <alignment vertical="bottom"/>
    </xf>
    <xf borderId="5" fillId="18" fontId="32" numFmtId="0" xfId="0" applyAlignment="1" applyBorder="1" applyFill="1" applyFont="1">
      <alignment horizontal="left" vertical="center"/>
    </xf>
    <xf borderId="5" fillId="18" fontId="33" numFmtId="166" xfId="0" applyAlignment="1" applyBorder="1" applyFont="1" applyNumberFormat="1">
      <alignment horizontal="right" vertical="center"/>
    </xf>
    <xf borderId="5" fillId="18" fontId="1" numFmtId="0" xfId="0" applyAlignment="1" applyBorder="1" applyFont="1">
      <alignment vertical="bottom"/>
    </xf>
    <xf borderId="2" fillId="19" fontId="25" numFmtId="0" xfId="0" applyAlignment="1" applyBorder="1" applyFill="1" applyFont="1">
      <alignment horizontal="left" vertical="center"/>
    </xf>
    <xf borderId="4" fillId="0" fontId="28" numFmtId="166" xfId="0" applyAlignment="1" applyBorder="1" applyFont="1" applyNumberFormat="1">
      <alignment horizontal="right" vertical="center"/>
    </xf>
    <xf borderId="2" fillId="13" fontId="25" numFmtId="0" xfId="0" applyAlignment="1" applyBorder="1" applyFont="1">
      <alignment horizontal="left" vertical="center"/>
    </xf>
    <xf borderId="4" fillId="0" fontId="1" numFmtId="0" xfId="0" applyAlignment="1" applyBorder="1" applyFont="1">
      <alignment vertical="bottom"/>
    </xf>
    <xf borderId="4" fillId="20" fontId="27" numFmtId="0" xfId="0" applyAlignment="1" applyBorder="1" applyFill="1" applyFont="1">
      <alignment horizontal="left" vertical="center"/>
    </xf>
    <xf borderId="4" fillId="20" fontId="28" numFmtId="166" xfId="0" applyAlignment="1" applyBorder="1" applyFont="1" applyNumberFormat="1">
      <alignment horizontal="right" vertical="center"/>
    </xf>
    <xf borderId="4" fillId="20" fontId="34" numFmtId="0" xfId="0" applyAlignment="1" applyBorder="1" applyFont="1">
      <alignment horizontal="center" vertical="center"/>
    </xf>
    <xf borderId="1" fillId="11" fontId="25" numFmtId="0" xfId="0" applyAlignment="1" applyBorder="1" applyFont="1">
      <alignment horizontal="left" vertical="center"/>
    </xf>
    <xf borderId="1" fillId="11" fontId="35" numFmtId="166" xfId="0" applyAlignment="1" applyBorder="1" applyFont="1" applyNumberFormat="1">
      <alignment horizontal="right" vertical="center"/>
    </xf>
    <xf borderId="1" fillId="11" fontId="1" numFmtId="0" xfId="0" applyAlignment="1" applyBorder="1" applyFont="1">
      <alignment vertical="bottom"/>
    </xf>
    <xf borderId="2" fillId="21" fontId="25" numFmtId="0" xfId="0" applyAlignment="1" applyBorder="1" applyFill="1" applyFont="1">
      <alignment horizontal="left" vertical="center"/>
    </xf>
    <xf borderId="1" fillId="12" fontId="25" numFmtId="0" xfId="0" applyAlignment="1" applyBorder="1" applyFont="1">
      <alignment horizontal="left" vertical="center"/>
    </xf>
    <xf borderId="1" fillId="12" fontId="35" numFmtId="166" xfId="0" applyAlignment="1" applyBorder="1" applyFont="1" applyNumberFormat="1">
      <alignment horizontal="right" vertical="center"/>
    </xf>
    <xf borderId="1" fillId="12" fontId="1" numFmtId="0" xfId="0" applyAlignment="1" applyBorder="1" applyFont="1">
      <alignment vertical="bottom"/>
    </xf>
    <xf borderId="4" fillId="15" fontId="24" numFmtId="166" xfId="0" applyAlignment="1" applyBorder="1" applyFont="1" applyNumberFormat="1">
      <alignment horizontal="right" vertical="center"/>
    </xf>
    <xf borderId="4" fillId="15" fontId="34" numFmtId="0" xfId="0" applyAlignment="1" applyBorder="1" applyFont="1">
      <alignment horizontal="center" vertical="center"/>
    </xf>
    <xf borderId="4" fillId="16" fontId="24" numFmtId="167" xfId="0" applyAlignment="1" applyBorder="1" applyFont="1" applyNumberFormat="1">
      <alignment horizontal="right" vertical="center"/>
    </xf>
    <xf borderId="4" fillId="0" fontId="36" numFmtId="0" xfId="0" applyAlignment="1" applyBorder="1" applyFont="1">
      <alignment horizontal="left" vertical="center"/>
    </xf>
    <xf borderId="4" fillId="15" fontId="28" numFmtId="166" xfId="0" applyAlignment="1" applyBorder="1" applyFont="1" applyNumberFormat="1">
      <alignment horizontal="right" vertical="center"/>
    </xf>
    <xf borderId="4" fillId="0" fontId="29" numFmtId="0" xfId="0" applyAlignment="1" applyBorder="1" applyFont="1">
      <alignment horizontal="left" vertical="center"/>
    </xf>
    <xf borderId="0" fillId="0" fontId="29" numFmtId="0" xfId="0" applyAlignment="1" applyFont="1">
      <alignment horizontal="left" vertical="center"/>
    </xf>
    <xf borderId="4" fillId="0" fontId="30" numFmtId="170" xfId="0" applyAlignment="1" applyBorder="1" applyFont="1" applyNumberFormat="1">
      <alignment horizontal="right" vertical="center"/>
    </xf>
    <xf borderId="4" fillId="22" fontId="27" numFmtId="0" xfId="0" applyAlignment="1" applyBorder="1" applyFill="1" applyFont="1">
      <alignment horizontal="left" vertical="center"/>
    </xf>
    <xf borderId="4" fillId="22" fontId="24" numFmtId="166" xfId="0" applyAlignment="1" applyBorder="1" applyFont="1" applyNumberFormat="1">
      <alignment horizontal="right" vertical="center"/>
    </xf>
    <xf borderId="4" fillId="22" fontId="34" numFmtId="0" xfId="0" applyAlignment="1" applyBorder="1" applyFont="1">
      <alignment horizontal="center" vertical="center"/>
    </xf>
    <xf borderId="1" fillId="13" fontId="1" numFmtId="0" xfId="0" applyAlignment="1" applyBorder="1" applyFont="1">
      <alignment vertical="bottom"/>
    </xf>
    <xf borderId="2" fillId="23" fontId="25" numFmtId="0" xfId="0" applyAlignment="1" applyBorder="1" applyFill="1" applyFont="1">
      <alignment horizontal="left" vertical="center"/>
    </xf>
    <xf borderId="4" fillId="13" fontId="26" numFmtId="0" xfId="0" applyAlignment="1" applyBorder="1" applyFont="1">
      <alignment horizontal="center" shrinkToFit="0" vertical="center" wrapText="1"/>
    </xf>
    <xf borderId="4" fillId="15" fontId="31" numFmtId="0" xfId="0" applyAlignment="1" applyBorder="1" applyFont="1">
      <alignment horizontal="left" vertical="center"/>
    </xf>
    <xf borderId="4" fillId="15" fontId="30" numFmtId="166" xfId="0" applyAlignment="1" applyBorder="1" applyFont="1" applyNumberFormat="1">
      <alignment horizontal="right" vertical="center"/>
    </xf>
    <xf borderId="4" fillId="15" fontId="29" numFmtId="0" xfId="0" applyAlignment="1" applyBorder="1" applyFont="1">
      <alignment horizontal="left" shrinkToFit="0" vertical="center" wrapText="1"/>
    </xf>
    <xf borderId="4" fillId="15" fontId="37" numFmtId="0" xfId="0" applyAlignment="1" applyBorder="1" applyFont="1">
      <alignment horizontal="left" vertical="center"/>
    </xf>
    <xf borderId="4" fillId="15" fontId="32" numFmtId="0" xfId="0" applyAlignment="1" applyBorder="1" applyFont="1">
      <alignment horizontal="left" vertical="center"/>
    </xf>
    <xf borderId="4" fillId="16" fontId="31" numFmtId="0" xfId="0" applyAlignment="1" applyBorder="1" applyFont="1">
      <alignment horizontal="center" vertical="center"/>
    </xf>
    <xf borderId="4" fillId="0" fontId="36" numFmtId="0" xfId="0" applyAlignment="1" applyBorder="1" applyFont="1">
      <alignment horizontal="left" shrinkToFit="0" vertical="center" wrapText="1"/>
    </xf>
    <xf borderId="0" fillId="0" fontId="36" numFmtId="0" xfId="0" applyAlignment="1" applyFont="1">
      <alignment horizontal="left" vertical="center"/>
    </xf>
    <xf borderId="4" fillId="22" fontId="32" numFmtId="0" xfId="0" applyAlignment="1" applyBorder="1" applyFont="1">
      <alignment horizontal="left" vertical="center"/>
    </xf>
    <xf borderId="4" fillId="22" fontId="38" numFmtId="166" xfId="0" applyAlignment="1" applyBorder="1" applyFont="1" applyNumberFormat="1">
      <alignment horizontal="right" vertical="center"/>
    </xf>
    <xf borderId="4" fillId="16" fontId="39" numFmtId="0" xfId="0" applyAlignment="1" applyBorder="1" applyFont="1">
      <alignment horizontal="left" vertical="center"/>
    </xf>
    <xf borderId="4" fillId="16" fontId="40" numFmtId="166" xfId="0" applyAlignment="1" applyBorder="1" applyFont="1" applyNumberFormat="1">
      <alignment horizontal="right" vertical="center"/>
    </xf>
    <xf borderId="4" fillId="16" fontId="1" numFmtId="0" xfId="0" applyAlignment="1" applyBorder="1" applyFont="1">
      <alignment vertical="bottom"/>
    </xf>
    <xf borderId="5" fillId="22" fontId="41" numFmtId="0" xfId="0" applyAlignment="1" applyBorder="1" applyFont="1">
      <alignment horizontal="left" vertical="center"/>
    </xf>
    <xf borderId="5" fillId="22" fontId="42" numFmtId="166" xfId="0" applyAlignment="1" applyBorder="1" applyFont="1" applyNumberFormat="1">
      <alignment horizontal="right" vertical="center"/>
    </xf>
    <xf borderId="0" fillId="0" fontId="30" numFmtId="0" xfId="0" applyAlignment="1" applyFont="1">
      <alignment vertical="bottom"/>
    </xf>
    <xf borderId="0" fillId="0" fontId="30" numFmtId="0" xfId="0" applyAlignment="1" applyFont="1">
      <alignment horizontal="left" vertical="center"/>
    </xf>
    <xf borderId="0" fillId="0" fontId="30" numFmtId="170" xfId="0" applyAlignment="1" applyFont="1" applyNumberFormat="1">
      <alignment horizontal="right" vertical="center"/>
    </xf>
    <xf borderId="0" fillId="0" fontId="30" numFmtId="166" xfId="0" applyAlignment="1" applyFont="1" applyNumberFormat="1">
      <alignment horizontal="right" vertical="center"/>
    </xf>
    <xf borderId="1" fillId="19" fontId="25" numFmtId="0" xfId="0" applyAlignment="1" applyBorder="1" applyFont="1">
      <alignment horizontal="left" vertical="center"/>
    </xf>
    <xf borderId="1" fillId="19" fontId="35" numFmtId="166" xfId="0" applyAlignment="1" applyBorder="1" applyFont="1" applyNumberFormat="1">
      <alignment horizontal="right" vertical="center"/>
    </xf>
    <xf borderId="1" fillId="19" fontId="1" numFmtId="0" xfId="0" applyAlignment="1" applyBorder="1" applyFont="1">
      <alignment vertical="bottom"/>
    </xf>
    <xf borderId="2" fillId="24" fontId="25" numFmtId="0" xfId="0" applyAlignment="1" applyBorder="1" applyFill="1" applyFont="1">
      <alignment horizontal="left" vertical="center"/>
    </xf>
    <xf borderId="4" fillId="25" fontId="30" numFmtId="0" xfId="0" applyAlignment="1" applyBorder="1" applyFill="1" applyFont="1">
      <alignment vertical="bottom"/>
    </xf>
    <xf borderId="4" fillId="25" fontId="27" numFmtId="0" xfId="0" applyAlignment="1" applyBorder="1" applyFont="1">
      <alignment horizontal="left" vertical="center"/>
    </xf>
    <xf borderId="4" fillId="25" fontId="30" numFmtId="166" xfId="0" applyAlignment="1" applyBorder="1" applyFont="1" applyNumberFormat="1">
      <alignment horizontal="right" vertical="center"/>
    </xf>
    <xf borderId="4" fillId="25" fontId="36" numFmtId="0" xfId="0" applyAlignment="1" applyBorder="1" applyFont="1">
      <alignment horizontal="left" vertical="center"/>
    </xf>
    <xf borderId="4" fillId="25" fontId="24" numFmtId="166" xfId="0" applyAlignment="1" applyBorder="1" applyFont="1" applyNumberFormat="1">
      <alignment horizontal="right" vertical="center"/>
    </xf>
    <xf borderId="4" fillId="25" fontId="29" numFmtId="0" xfId="0" applyAlignment="1" applyBorder="1" applyFont="1">
      <alignment horizontal="left" vertical="center"/>
    </xf>
    <xf borderId="5" fillId="18" fontId="30" numFmtId="0" xfId="0" applyAlignment="1" applyBorder="1" applyFont="1">
      <alignment vertical="bottom"/>
    </xf>
    <xf borderId="5" fillId="18" fontId="29" numFmtId="0" xfId="0" applyAlignment="1" applyBorder="1" applyFont="1">
      <alignment horizontal="left" vertical="center"/>
    </xf>
    <xf borderId="4" fillId="15" fontId="30" numFmtId="0" xfId="0" applyAlignment="1" applyBorder="1" applyFont="1">
      <alignment vertical="bottom"/>
    </xf>
    <xf borderId="4" fillId="16" fontId="24" numFmtId="166" xfId="0" applyAlignment="1" applyBorder="1" applyFont="1" applyNumberFormat="1">
      <alignment horizontal="right" vertical="center"/>
    </xf>
    <xf borderId="6" fillId="24" fontId="30" numFmtId="0" xfId="0" applyAlignment="1" applyBorder="1" applyFont="1">
      <alignment vertical="bottom"/>
    </xf>
    <xf borderId="6" fillId="24" fontId="43" numFmtId="0" xfId="0" applyAlignment="1" applyBorder="1" applyFont="1">
      <alignment horizontal="left" vertical="center"/>
    </xf>
    <xf borderId="6" fillId="24" fontId="44" numFmtId="166" xfId="0" applyAlignment="1" applyBorder="1" applyFont="1" applyNumberFormat="1">
      <alignment horizontal="right" vertical="center"/>
    </xf>
    <xf borderId="6" fillId="24" fontId="45" numFmtId="0" xfId="0" applyAlignment="1" applyBorder="1" applyFont="1">
      <alignment horizontal="left" vertical="center"/>
    </xf>
    <xf borderId="4" fillId="15" fontId="29" numFmtId="0" xfId="0" applyAlignment="1" applyBorder="1" applyFont="1">
      <alignment horizontal="left" vertical="center"/>
    </xf>
    <xf borderId="4" fillId="15" fontId="36" numFmtId="166" xfId="0" applyAlignment="1" applyBorder="1" applyFont="1" applyNumberFormat="1">
      <alignment horizontal="right" vertical="center"/>
    </xf>
    <xf borderId="4" fillId="16" fontId="30" numFmtId="0" xfId="0" applyAlignment="1" applyBorder="1" applyFont="1">
      <alignment vertical="bottom"/>
    </xf>
    <xf borderId="4" fillId="16" fontId="29" numFmtId="0" xfId="0" applyAlignment="1" applyBorder="1" applyFont="1">
      <alignment horizontal="left" vertical="center"/>
    </xf>
    <xf borderId="4" fillId="16" fontId="36" numFmtId="166" xfId="0" applyAlignment="1" applyBorder="1" applyFont="1" applyNumberFormat="1">
      <alignment horizontal="right" vertical="center"/>
    </xf>
    <xf borderId="6" fillId="25" fontId="46" numFmtId="0" xfId="0" applyAlignment="1" applyBorder="1" applyFont="1">
      <alignment horizontal="left" vertical="center"/>
    </xf>
    <xf borderId="6" fillId="25" fontId="47" numFmtId="166" xfId="0" applyAlignment="1" applyBorder="1" applyFont="1" applyNumberFormat="1">
      <alignment horizontal="right" vertical="center"/>
    </xf>
    <xf borderId="6" fillId="25" fontId="36" numFmtId="0" xfId="0" applyAlignment="1" applyBorder="1" applyFont="1">
      <alignment horizontal="left" vertical="center"/>
    </xf>
    <xf borderId="4" fillId="22" fontId="30" numFmtId="0" xfId="0" applyAlignment="1" applyBorder="1" applyFont="1">
      <alignment vertical="bottom"/>
    </xf>
    <xf borderId="6" fillId="22" fontId="41" numFmtId="0" xfId="0" applyAlignment="1" applyBorder="1" applyFont="1">
      <alignment horizontal="left" vertical="center"/>
    </xf>
    <xf borderId="6" fillId="22" fontId="42" numFmtId="166" xfId="0" applyAlignment="1" applyBorder="1" applyFont="1" applyNumberFormat="1">
      <alignment horizontal="right" vertical="center"/>
    </xf>
    <xf borderId="6" fillId="22" fontId="36" numFmtId="0" xfId="0" applyAlignment="1" applyBorder="1" applyFont="1">
      <alignment horizontal="left" vertical="center"/>
    </xf>
    <xf borderId="4" fillId="0" fontId="27" numFmtId="0" xfId="0" applyAlignment="1" applyBorder="1" applyFont="1">
      <alignment horizontal="left" shrinkToFit="0" vertical="center" wrapText="1"/>
    </xf>
    <xf borderId="4" fillId="0" fontId="48" numFmtId="0" xfId="0" applyAlignment="1" applyBorder="1" applyFont="1">
      <alignment vertical="bottom"/>
    </xf>
    <xf borderId="4" fillId="0" fontId="49" numFmtId="166" xfId="0" applyAlignment="1" applyBorder="1" applyFont="1" applyNumberFormat="1">
      <alignment horizontal="right" vertical="bottom"/>
    </xf>
    <xf borderId="4" fillId="0" fontId="50" numFmtId="166" xfId="0" applyAlignment="1" applyBorder="1" applyFont="1" applyNumberFormat="1">
      <alignment horizontal="right" vertical="bottom"/>
    </xf>
    <xf borderId="4" fillId="0" fontId="36" numFmtId="0" xfId="0" applyAlignment="1" applyBorder="1" applyFont="1">
      <alignment shrinkToFit="0" vertical="bottom" wrapText="1"/>
    </xf>
    <xf borderId="4" fillId="15" fontId="48" numFmtId="0" xfId="0" applyAlignment="1" applyBorder="1" applyFont="1">
      <alignment vertical="bottom"/>
    </xf>
    <xf borderId="4" fillId="15" fontId="49" numFmtId="166" xfId="0" applyAlignment="1" applyBorder="1" applyFont="1" applyNumberFormat="1">
      <alignment horizontal="right" vertical="bottom"/>
    </xf>
    <xf borderId="4" fillId="16" fontId="49" numFmtId="166" xfId="0" applyAlignment="1" applyBorder="1" applyFont="1" applyNumberFormat="1">
      <alignment horizontal="right" vertical="bottom"/>
    </xf>
    <xf borderId="4" fillId="15" fontId="50" numFmtId="166" xfId="0" applyAlignment="1" applyBorder="1" applyFont="1" applyNumberFormat="1">
      <alignment horizontal="right" vertical="bottom"/>
    </xf>
    <xf borderId="4" fillId="15" fontId="29" numFmtId="0" xfId="0" applyAlignment="1" applyBorder="1" applyFont="1">
      <alignment shrinkToFit="0" vertical="bottom" wrapText="1"/>
    </xf>
    <xf borderId="4" fillId="0" fontId="49" numFmtId="166" xfId="0" applyAlignment="1" applyBorder="1" applyFont="1" applyNumberFormat="1">
      <alignment horizontal="right" readingOrder="0" vertical="bottom"/>
    </xf>
    <xf borderId="0" fillId="0" fontId="1" numFmtId="166" xfId="0" applyAlignment="1" applyFont="1" applyNumberFormat="1">
      <alignment vertical="bottom"/>
    </xf>
    <xf borderId="4" fillId="0" fontId="1" numFmtId="166" xfId="0" applyAlignment="1" applyBorder="1" applyFont="1" applyNumberFormat="1">
      <alignment vertical="bottom"/>
    </xf>
    <xf borderId="4" fillId="0" fontId="29" numFmtId="0" xfId="0" applyAlignment="1" applyBorder="1" applyFont="1">
      <alignment shrinkToFit="0" vertical="bottom" wrapText="1"/>
    </xf>
    <xf borderId="4" fillId="15" fontId="28" numFmtId="0" xfId="0" applyAlignment="1" applyBorder="1" applyFont="1">
      <alignment horizontal="left" vertical="center"/>
    </xf>
    <xf borderId="4" fillId="15" fontId="27" numFmtId="0" xfId="0" applyAlignment="1" applyBorder="1" applyFont="1">
      <alignment horizontal="left" readingOrder="0" vertical="center"/>
    </xf>
    <xf borderId="4" fillId="0" fontId="28" numFmtId="166" xfId="0" applyAlignment="1" applyBorder="1" applyFont="1" applyNumberFormat="1">
      <alignment horizontal="right" readingOrder="0" vertical="center"/>
    </xf>
    <xf borderId="4" fillId="16" fontId="28" numFmtId="166" xfId="0" applyAlignment="1" applyBorder="1" applyFont="1" applyNumberFormat="1">
      <alignment horizontal="right" readingOrder="0" vertical="center"/>
    </xf>
    <xf borderId="4" fillId="0" fontId="36" numFmtId="0" xfId="0" applyAlignment="1" applyBorder="1" applyFont="1">
      <alignment readingOrder="0" shrinkToFit="0" vertical="bottom" wrapText="1"/>
    </xf>
    <xf borderId="4" fillId="15" fontId="48" numFmtId="0" xfId="0" applyAlignment="1" applyBorder="1" applyFont="1">
      <alignment readingOrder="0" vertical="bottom"/>
    </xf>
    <xf borderId="4" fillId="15" fontId="49" numFmtId="0" xfId="0" applyAlignment="1" applyBorder="1" applyFont="1">
      <alignment vertical="bottom"/>
    </xf>
    <xf borderId="4" fillId="0" fontId="51" numFmtId="166" xfId="0" applyAlignment="1" applyBorder="1" applyFont="1" applyNumberFormat="1">
      <alignment horizontal="right" vertical="center"/>
    </xf>
    <xf borderId="4" fillId="0" fontId="30" numFmtId="1" xfId="0" applyAlignment="1" applyBorder="1" applyFont="1" applyNumberFormat="1">
      <alignment horizontal="center" vertical="center"/>
    </xf>
    <xf borderId="4" fillId="0" fontId="28" numFmtId="167" xfId="0" applyAlignment="1" applyBorder="1" applyFont="1" applyNumberFormat="1">
      <alignment horizontal="right" vertical="center"/>
    </xf>
    <xf borderId="4" fillId="26" fontId="30" numFmtId="166" xfId="0" applyAlignment="1" applyBorder="1" applyFill="1" applyFont="1" applyNumberFormat="1">
      <alignment horizontal="right" vertical="center"/>
    </xf>
    <xf borderId="4" fillId="15" fontId="28" numFmtId="167" xfId="0" applyAlignment="1" applyBorder="1" applyFont="1" applyNumberFormat="1">
      <alignment horizontal="right" vertical="center"/>
    </xf>
    <xf borderId="5" fillId="18" fontId="32" numFmtId="0" xfId="0" applyAlignment="1" applyBorder="1" applyFont="1">
      <alignment horizontal="center" vertical="center"/>
    </xf>
    <xf borderId="5" fillId="18" fontId="33" numFmtId="167" xfId="0" applyAlignment="1" applyBorder="1" applyFont="1" applyNumberFormat="1">
      <alignment horizontal="right" vertical="center"/>
    </xf>
    <xf borderId="5" fillId="18" fontId="52" numFmtId="166" xfId="0" applyAlignment="1" applyBorder="1" applyFont="1" applyNumberFormat="1">
      <alignment horizontal="right" vertical="center"/>
    </xf>
    <xf borderId="0" fillId="0" fontId="37" numFmtId="0" xfId="0" applyAlignment="1" applyFont="1">
      <alignment horizontal="left" vertical="center"/>
    </xf>
    <xf borderId="4" fillId="0" fontId="30" numFmtId="167" xfId="0" applyAlignment="1" applyBorder="1" applyFont="1" applyNumberFormat="1">
      <alignment horizontal="right" vertical="center"/>
    </xf>
    <xf borderId="4" fillId="13" fontId="53" numFmtId="0" xfId="0" applyAlignment="1" applyBorder="1" applyFont="1">
      <alignment horizontal="center" vertical="center"/>
    </xf>
    <xf borderId="4" fillId="16" fontId="28" numFmtId="171" xfId="0" applyAlignment="1" applyBorder="1" applyFont="1" applyNumberFormat="1">
      <alignment horizontal="center" vertical="center"/>
    </xf>
    <xf borderId="4" fillId="16" fontId="28" numFmtId="167" xfId="0" applyAlignment="1" applyBorder="1" applyFont="1" applyNumberFormat="1">
      <alignment horizontal="center" vertical="center"/>
    </xf>
    <xf borderId="4" fillId="15" fontId="31" numFmtId="0" xfId="0" applyAlignment="1" applyBorder="1" applyFont="1">
      <alignment horizontal="center" vertical="center"/>
    </xf>
    <xf borderId="4" fillId="22" fontId="30" numFmtId="166" xfId="0" applyAlignment="1" applyBorder="1" applyFont="1" applyNumberFormat="1">
      <alignment horizontal="right" vertical="center"/>
    </xf>
    <xf borderId="4" fillId="0" fontId="31" numFmtId="0" xfId="0" applyAlignment="1" applyBorder="1" applyFont="1">
      <alignment horizontal="center" vertical="center"/>
    </xf>
    <xf borderId="7" fillId="22" fontId="42" numFmtId="166" xfId="0" applyAlignment="1" applyBorder="1" applyFont="1" applyNumberFormat="1">
      <alignment horizontal="right" vertical="center"/>
    </xf>
    <xf borderId="8" fillId="0" fontId="18" numFmtId="0" xfId="0" applyBorder="1" applyFont="1"/>
    <xf borderId="0" fillId="0" fontId="37" numFmtId="0" xfId="0" applyAlignment="1" applyFont="1">
      <alignment vertical="bottom"/>
    </xf>
    <xf borderId="0" fillId="0" fontId="27" numFmtId="0" xfId="0" applyAlignment="1" applyFont="1">
      <alignment vertical="bottom"/>
    </xf>
    <xf borderId="4" fillId="18" fontId="32" numFmtId="0" xfId="0" applyAlignment="1" applyBorder="1" applyFont="1">
      <alignment horizontal="left" vertical="center"/>
    </xf>
    <xf borderId="4" fillId="18" fontId="1" numFmtId="0" xfId="0" applyAlignment="1" applyBorder="1" applyFont="1">
      <alignment vertical="bottom"/>
    </xf>
    <xf borderId="1" fillId="10" fontId="25" numFmtId="0" xfId="0" applyAlignment="1" applyBorder="1" applyFont="1">
      <alignment horizontal="left" vertical="center"/>
    </xf>
    <xf borderId="4" fillId="15" fontId="30" numFmtId="172" xfId="0" applyAlignment="1" applyBorder="1" applyFont="1" applyNumberFormat="1">
      <alignment horizontal="right" vertical="center"/>
    </xf>
    <xf borderId="4" fillId="15" fontId="30" numFmtId="9" xfId="0" applyAlignment="1" applyBorder="1" applyFont="1" applyNumberFormat="1">
      <alignment horizontal="right" vertical="center"/>
    </xf>
    <xf borderId="4" fillId="0" fontId="30" numFmtId="0" xfId="0" applyAlignment="1" applyBorder="1" applyFont="1">
      <alignment horizontal="center" vertical="center"/>
    </xf>
    <xf borderId="4" fillId="15" fontId="27" numFmtId="0" xfId="0" applyAlignment="1" applyBorder="1" applyFont="1">
      <alignment horizontal="center" vertical="center"/>
    </xf>
    <xf borderId="4" fillId="0" fontId="27" numFmtId="0" xfId="0" applyAlignment="1" applyBorder="1" applyFont="1">
      <alignment horizontal="left" vertical="center"/>
    </xf>
    <xf borderId="4" fillId="0" fontId="30" numFmtId="172" xfId="0" applyAlignment="1" applyBorder="1" applyFont="1" applyNumberFormat="1">
      <alignment horizontal="right" vertical="center"/>
    </xf>
    <xf borderId="4" fillId="16" fontId="30" numFmtId="172" xfId="0" applyAlignment="1" applyBorder="1" applyFont="1" applyNumberFormat="1">
      <alignment horizontal="right" vertical="center"/>
    </xf>
    <xf borderId="4" fillId="16" fontId="30" numFmtId="9" xfId="0" applyAlignment="1" applyBorder="1" applyFont="1" applyNumberFormat="1">
      <alignment horizontal="right" vertical="center"/>
    </xf>
    <xf borderId="4" fillId="0" fontId="27" numFmtId="0" xfId="0" applyAlignment="1" applyBorder="1" applyFont="1">
      <alignment horizontal="center" vertical="center"/>
    </xf>
    <xf borderId="4" fillId="15" fontId="28" numFmtId="0" xfId="0" applyAlignment="1" applyBorder="1" applyFont="1">
      <alignment horizontal="center" vertical="center"/>
    </xf>
    <xf borderId="4" fillId="0" fontId="27" numFmtId="170" xfId="0" applyAlignment="1" applyBorder="1" applyFont="1" applyNumberFormat="1">
      <alignment horizontal="right" vertical="center"/>
    </xf>
    <xf borderId="4" fillId="15" fontId="30" numFmtId="0" xfId="0" applyAlignment="1" applyBorder="1" applyFont="1">
      <alignment horizontal="center" vertical="center"/>
    </xf>
    <xf borderId="4" fillId="0" fontId="28" numFmtId="0" xfId="0" applyAlignment="1" applyBorder="1" applyFont="1">
      <alignment horizontal="center" vertical="center"/>
    </xf>
    <xf borderId="4" fillId="20" fontId="32" numFmtId="0" xfId="0" applyAlignment="1" applyBorder="1" applyFont="1">
      <alignment horizontal="left" vertical="center"/>
    </xf>
    <xf borderId="4" fillId="20" fontId="33" numFmtId="172" xfId="0" applyAlignment="1" applyBorder="1" applyFont="1" applyNumberFormat="1">
      <alignment horizontal="right" vertical="center"/>
    </xf>
    <xf borderId="4" fillId="20" fontId="33" numFmtId="9" xfId="0" applyAlignment="1" applyBorder="1" applyFont="1" applyNumberFormat="1">
      <alignment horizontal="right" vertical="center"/>
    </xf>
    <xf borderId="4" fillId="18" fontId="33" numFmtId="166" xfId="0" applyAlignment="1" applyBorder="1" applyFont="1" applyNumberFormat="1">
      <alignment horizontal="right" vertical="center"/>
    </xf>
    <xf borderId="5" fillId="18" fontId="33" numFmtId="170" xfId="0" applyAlignment="1" applyBorder="1" applyFont="1" applyNumberFormat="1">
      <alignment horizontal="right" vertical="center"/>
    </xf>
    <xf borderId="4" fillId="15" fontId="54" numFmtId="0" xfId="0" applyAlignment="1" applyBorder="1" applyFont="1">
      <alignment horizontal="left" vertical="center"/>
    </xf>
    <xf borderId="4" fillId="13" fontId="27" numFmtId="0" xfId="0" applyAlignment="1" applyBorder="1" applyFont="1">
      <alignment horizontal="left" vertical="center"/>
    </xf>
    <xf borderId="4" fillId="13" fontId="30" numFmtId="172" xfId="0" applyAlignment="1" applyBorder="1" applyFont="1" applyNumberFormat="1">
      <alignment horizontal="right" vertical="center"/>
    </xf>
    <xf borderId="4" fillId="13" fontId="30" numFmtId="9" xfId="0" applyAlignment="1" applyBorder="1" applyFont="1" applyNumberFormat="1">
      <alignment horizontal="right" vertical="center"/>
    </xf>
    <xf borderId="4" fillId="0" fontId="32" numFmtId="0" xfId="0" applyAlignment="1" applyBorder="1" applyFont="1">
      <alignment horizontal="left" vertical="center"/>
    </xf>
    <xf borderId="4" fillId="15" fontId="36" numFmtId="0" xfId="0" applyAlignment="1" applyBorder="1" applyFont="1">
      <alignment horizontal="left" vertical="center"/>
    </xf>
    <xf borderId="4" fillId="0" fontId="55" numFmtId="0" xfId="0" applyAlignment="1" applyBorder="1" applyFont="1">
      <alignment horizontal="left" vertical="center"/>
    </xf>
    <xf borderId="2" fillId="27" fontId="25" numFmtId="0" xfId="0" applyAlignment="1" applyBorder="1" applyFill="1" applyFont="1">
      <alignment horizontal="left" vertical="center"/>
    </xf>
    <xf borderId="4" fillId="13" fontId="1" numFmtId="0" xfId="0" applyAlignment="1" applyBorder="1" applyFont="1">
      <alignment vertical="bottom"/>
    </xf>
    <xf borderId="4" fillId="16" fontId="28" numFmtId="166" xfId="0" applyAlignment="1" applyBorder="1" applyFont="1" applyNumberFormat="1">
      <alignment horizontal="center" vertical="center"/>
    </xf>
    <xf borderId="4" fillId="15" fontId="1" numFmtId="0" xfId="0" applyAlignment="1" applyBorder="1" applyFont="1">
      <alignment vertical="bottom"/>
    </xf>
    <xf borderId="4" fillId="16" fontId="28" numFmtId="166" xfId="0" applyAlignment="1" applyBorder="1" applyFont="1" applyNumberFormat="1">
      <alignment horizontal="left" vertical="center"/>
    </xf>
    <xf borderId="4" fillId="15" fontId="28" numFmtId="173" xfId="0" applyAlignment="1" applyBorder="1" applyFont="1" applyNumberFormat="1">
      <alignment horizontal="center" vertical="center"/>
    </xf>
    <xf borderId="4" fillId="0" fontId="28" numFmtId="173" xfId="0" applyAlignment="1" applyBorder="1" applyFont="1" applyNumberFormat="1">
      <alignment horizontal="center" vertical="center"/>
    </xf>
    <xf borderId="0" fillId="0" fontId="37" numFmtId="0" xfId="0" applyAlignment="1" applyFont="1">
      <alignment horizontal="right" vertical="center"/>
    </xf>
    <xf borderId="4" fillId="16" fontId="28" numFmtId="0" xfId="0" applyAlignment="1" applyBorder="1" applyFont="1">
      <alignment horizontal="center" vertical="center"/>
    </xf>
    <xf borderId="4" fillId="13" fontId="53" numFmtId="0" xfId="0" applyAlignment="1" applyBorder="1" applyFont="1">
      <alignment horizontal="center" shrinkToFit="0" vertical="center" wrapText="1"/>
    </xf>
    <xf borderId="4" fillId="15" fontId="30" numFmtId="170" xfId="0" applyAlignment="1" applyBorder="1" applyFont="1" applyNumberFormat="1">
      <alignment horizontal="right" vertical="center"/>
    </xf>
    <xf borderId="4" fillId="28" fontId="32" numFmtId="0" xfId="0" applyAlignment="1" applyBorder="1" applyFill="1" applyFont="1">
      <alignment horizontal="left" vertical="center"/>
    </xf>
    <xf borderId="4" fillId="28" fontId="28" numFmtId="166" xfId="0" applyAlignment="1" applyBorder="1" applyFont="1" applyNumberFormat="1">
      <alignment horizontal="right" vertical="center"/>
    </xf>
    <xf borderId="4" fillId="28" fontId="30" numFmtId="166" xfId="0" applyAlignment="1" applyBorder="1" applyFont="1" applyNumberFormat="1">
      <alignment horizontal="right" vertical="center"/>
    </xf>
    <xf borderId="4" fillId="28" fontId="30" numFmtId="170" xfId="0" applyAlignment="1" applyBorder="1" applyFont="1" applyNumberFormat="1">
      <alignment horizontal="right" vertical="center"/>
    </xf>
    <xf borderId="0" fillId="0" fontId="3" numFmtId="0" xfId="0" applyAlignment="1" applyFont="1">
      <alignment horizontal="left" vertical="center"/>
    </xf>
    <xf borderId="4" fillId="16" fontId="28" numFmtId="170" xfId="0" applyAlignment="1" applyBorder="1" applyFont="1" applyNumberFormat="1">
      <alignment horizontal="right" vertical="center"/>
    </xf>
    <xf borderId="0" fillId="0" fontId="30" numFmtId="0" xfId="0" applyAlignment="1" applyFont="1">
      <alignment horizontal="center" shrinkToFit="0" vertical="center" wrapText="1"/>
    </xf>
    <xf borderId="0" fillId="0" fontId="30" numFmtId="0" xfId="0" applyAlignment="1" applyFont="1">
      <alignment horizontal="center" vertical="center"/>
    </xf>
    <xf borderId="4" fillId="13" fontId="26" numFmtId="167" xfId="0" applyAlignment="1" applyBorder="1" applyFont="1" applyNumberFormat="1">
      <alignment horizontal="center" shrinkToFit="0" vertical="center" wrapText="1"/>
    </xf>
    <xf borderId="0" fillId="0" fontId="30" numFmtId="167" xfId="0" applyAlignment="1" applyFont="1" applyNumberFormat="1">
      <alignment horizontal="right" vertical="center"/>
    </xf>
    <xf borderId="0" fillId="0" fontId="30" numFmtId="174" xfId="0" applyAlignment="1" applyFont="1" applyNumberFormat="1">
      <alignment horizontal="right" vertical="center"/>
    </xf>
    <xf borderId="4" fillId="15" fontId="30" numFmtId="0" xfId="0" applyAlignment="1" applyBorder="1" applyFont="1">
      <alignment horizontal="left" vertical="center"/>
    </xf>
    <xf borderId="4" fillId="16" fontId="28" numFmtId="175" xfId="0" applyAlignment="1" applyBorder="1" applyFont="1" applyNumberFormat="1">
      <alignment horizontal="right" vertical="center"/>
    </xf>
    <xf borderId="0" fillId="0" fontId="29" numFmtId="167" xfId="0" applyAlignment="1" applyFont="1" applyNumberFormat="1">
      <alignment horizontal="left" vertical="center"/>
    </xf>
    <xf borderId="0" fillId="0" fontId="36" numFmtId="167" xfId="0" applyAlignment="1" applyFont="1" applyNumberFormat="1">
      <alignment horizontal="left" vertical="center"/>
    </xf>
    <xf borderId="0" fillId="0" fontId="36" numFmtId="174" xfId="0" applyAlignment="1" applyFont="1" applyNumberFormat="1">
      <alignment horizontal="left" vertical="center"/>
    </xf>
    <xf borderId="0" fillId="0" fontId="36" numFmtId="170" xfId="0" applyAlignment="1" applyFont="1" applyNumberFormat="1">
      <alignment horizontal="left" vertical="center"/>
    </xf>
    <xf borderId="0" fillId="0" fontId="30" numFmtId="167" xfId="0" applyAlignment="1" applyFont="1" applyNumberFormat="1">
      <alignment horizontal="right" vertical="bottom"/>
    </xf>
    <xf borderId="0" fillId="0" fontId="30" numFmtId="174" xfId="0" applyAlignment="1" applyFont="1" applyNumberFormat="1">
      <alignment vertical="bottom"/>
    </xf>
    <xf borderId="4" fillId="13" fontId="53" numFmtId="167" xfId="0" applyAlignment="1" applyBorder="1" applyFont="1" applyNumberFormat="1">
      <alignment horizontal="center" shrinkToFit="0" vertical="center" wrapText="1"/>
    </xf>
    <xf borderId="4" fillId="13" fontId="53" numFmtId="167" xfId="0" applyAlignment="1" applyBorder="1" applyFont="1" applyNumberFormat="1">
      <alignment horizontal="center" vertical="center"/>
    </xf>
    <xf borderId="4" fillId="13" fontId="26" numFmtId="174" xfId="0" applyAlignment="1" applyBorder="1" applyFont="1" applyNumberFormat="1">
      <alignment horizontal="center" shrinkToFit="0" vertical="center" wrapText="1"/>
    </xf>
    <xf borderId="4" fillId="20" fontId="30" numFmtId="167" xfId="0" applyAlignment="1" applyBorder="1" applyFont="1" applyNumberFormat="1">
      <alignment horizontal="right" vertical="center"/>
    </xf>
    <xf borderId="4" fillId="18" fontId="30" numFmtId="174" xfId="0" applyAlignment="1" applyBorder="1" applyFont="1" applyNumberFormat="1">
      <alignment vertical="bottom"/>
    </xf>
    <xf borderId="4" fillId="16" fontId="27" numFmtId="0" xfId="0" applyAlignment="1" applyBorder="1" applyFont="1">
      <alignment horizontal="left" vertical="center"/>
    </xf>
    <xf borderId="4" fillId="16" fontId="30" numFmtId="167" xfId="0" applyAlignment="1" applyBorder="1" applyFont="1" applyNumberFormat="1">
      <alignment horizontal="right" vertical="center"/>
    </xf>
    <xf borderId="9" fillId="29" fontId="27" numFmtId="0" xfId="0" applyAlignment="1" applyBorder="1" applyFill="1" applyFont="1">
      <alignment horizontal="left" vertical="center"/>
    </xf>
    <xf borderId="9" fillId="29" fontId="30" numFmtId="167" xfId="0" applyAlignment="1" applyBorder="1" applyFont="1" applyNumberFormat="1">
      <alignment horizontal="right" vertical="center"/>
    </xf>
    <xf borderId="10" fillId="30" fontId="32" numFmtId="0" xfId="0" applyAlignment="1" applyBorder="1" applyFill="1" applyFont="1">
      <alignment horizontal="left" vertical="center"/>
    </xf>
    <xf borderId="11" fillId="30" fontId="28" numFmtId="167" xfId="0" applyAlignment="1" applyBorder="1" applyFont="1" applyNumberFormat="1">
      <alignment horizontal="right" vertical="center"/>
    </xf>
    <xf borderId="11" fillId="30" fontId="30" numFmtId="167" xfId="0" applyAlignment="1" applyBorder="1" applyFont="1" applyNumberFormat="1">
      <alignment horizontal="right" vertical="center"/>
    </xf>
    <xf borderId="12" fillId="30" fontId="30" numFmtId="167" xfId="0" applyAlignment="1" applyBorder="1" applyFont="1" applyNumberFormat="1">
      <alignment horizontal="right" vertical="center"/>
    </xf>
    <xf borderId="13" fillId="18" fontId="30" numFmtId="174" xfId="0" applyAlignment="1" applyBorder="1" applyFont="1" applyNumberFormat="1">
      <alignment horizontal="center" shrinkToFit="0" vertical="center" wrapText="1"/>
    </xf>
    <xf borderId="14" fillId="20" fontId="27" numFmtId="0" xfId="0" applyAlignment="1" applyBorder="1" applyFont="1">
      <alignment horizontal="left" vertical="center"/>
    </xf>
    <xf borderId="14" fillId="20" fontId="30" numFmtId="167" xfId="0" applyAlignment="1" applyBorder="1" applyFont="1" applyNumberFormat="1">
      <alignment horizontal="right" vertical="center"/>
    </xf>
    <xf borderId="4" fillId="18" fontId="30" numFmtId="174" xfId="0" applyAlignment="1" applyBorder="1" applyFont="1" applyNumberFormat="1">
      <alignment horizontal="right" vertical="center"/>
    </xf>
    <xf borderId="10" fillId="31" fontId="32" numFmtId="0" xfId="0" applyAlignment="1" applyBorder="1" applyFill="1" applyFont="1">
      <alignment horizontal="left" vertical="center"/>
    </xf>
    <xf borderId="11" fillId="31" fontId="28" numFmtId="167" xfId="0" applyAlignment="1" applyBorder="1" applyFont="1" applyNumberFormat="1">
      <alignment horizontal="right" vertical="center"/>
    </xf>
    <xf borderId="12" fillId="31" fontId="28" numFmtId="167" xfId="0" applyAlignment="1" applyBorder="1" applyFont="1" applyNumberFormat="1">
      <alignment horizontal="right" vertical="center"/>
    </xf>
    <xf borderId="13" fillId="18" fontId="30" numFmtId="174" xfId="0" applyAlignment="1" applyBorder="1" applyFont="1" applyNumberFormat="1">
      <alignment horizontal="right" vertical="center"/>
    </xf>
    <xf borderId="4" fillId="18" fontId="56" numFmtId="0" xfId="0" applyAlignment="1" applyBorder="1" applyFont="1">
      <alignment horizontal="left" vertical="center"/>
    </xf>
    <xf borderId="4" fillId="20" fontId="57" numFmtId="0" xfId="0" applyAlignment="1" applyBorder="1" applyFont="1">
      <alignment horizontal="left" vertical="center"/>
    </xf>
    <xf borderId="4" fillId="20" fontId="58" numFmtId="167" xfId="0" applyAlignment="1" applyBorder="1" applyFont="1" applyNumberFormat="1">
      <alignment horizontal="right" vertical="center"/>
    </xf>
    <xf borderId="4" fillId="18" fontId="33" numFmtId="174" xfId="0" applyAlignment="1" applyBorder="1" applyFont="1" applyNumberFormat="1">
      <alignment vertical="bottom"/>
    </xf>
    <xf borderId="4" fillId="28" fontId="59" numFmtId="0" xfId="0" applyAlignment="1" applyBorder="1" applyFont="1">
      <alignment horizontal="left" vertical="center"/>
    </xf>
    <xf borderId="4" fillId="28" fontId="60" numFmtId="167" xfId="0" applyAlignment="1" applyBorder="1" applyFont="1" applyNumberFormat="1">
      <alignment horizontal="right" vertical="center"/>
    </xf>
    <xf borderId="4" fillId="13" fontId="53" numFmtId="166" xfId="0" applyAlignment="1" applyBorder="1" applyFont="1" applyNumberFormat="1">
      <alignment horizontal="center" shrinkToFit="0" vertical="center" wrapText="1"/>
    </xf>
    <xf borderId="4" fillId="13" fontId="53" numFmtId="166" xfId="0" applyAlignment="1" applyBorder="1" applyFont="1" applyNumberFormat="1">
      <alignment horizontal="center" vertical="center"/>
    </xf>
    <xf borderId="4" fillId="13" fontId="26" numFmtId="166" xfId="0" applyAlignment="1" applyBorder="1" applyFont="1" applyNumberFormat="1">
      <alignment horizontal="center" shrinkToFit="0" vertical="center" wrapText="1"/>
    </xf>
    <xf borderId="4" fillId="20" fontId="30" numFmtId="166" xfId="0" applyAlignment="1" applyBorder="1" applyFont="1" applyNumberFormat="1">
      <alignment horizontal="right" vertical="center"/>
    </xf>
    <xf borderId="4" fillId="20" fontId="33" numFmtId="166" xfId="0" applyAlignment="1" applyBorder="1" applyFont="1" applyNumberFormat="1">
      <alignment horizontal="right" vertical="center"/>
    </xf>
    <xf borderId="1" fillId="2" fontId="4" numFmtId="0" xfId="0" applyAlignment="1" applyBorder="1" applyFon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4" fontId="12" numFmtId="176" xfId="0" applyAlignment="1" applyBorder="1" applyFont="1" applyNumberFormat="1">
      <alignment horizontal="right" vertical="center"/>
    </xf>
    <xf borderId="4" fillId="5" fontId="12" numFmtId="176" xfId="0" applyAlignment="1" applyBorder="1" applyFont="1" applyNumberFormat="1">
      <alignment horizontal="right" vertical="center"/>
    </xf>
    <xf borderId="4" fillId="5" fontId="12" numFmtId="177" xfId="0" applyAlignment="1" applyBorder="1" applyFont="1" applyNumberFormat="1">
      <alignment horizontal="right" vertical="center"/>
    </xf>
    <xf borderId="4" fillId="4" fontId="12" numFmtId="178" xfId="0" applyAlignment="1" applyBorder="1" applyFont="1" applyNumberFormat="1">
      <alignment horizontal="right" vertical="center"/>
    </xf>
    <xf borderId="4" fillId="5" fontId="12" numFmtId="178" xfId="0" applyAlignment="1" applyBorder="1" applyFont="1" applyNumberFormat="1">
      <alignment horizontal="right" vertical="center"/>
    </xf>
    <xf borderId="4" fillId="4" fontId="12" numFmtId="177" xfId="0" applyAlignment="1" applyBorder="1" applyFont="1" applyNumberFormat="1">
      <alignment horizontal="right" vertical="center"/>
    </xf>
    <xf borderId="4" fillId="6" fontId="8" numFmtId="177" xfId="0" applyAlignment="1" applyBorder="1" applyFont="1" applyNumberFormat="1">
      <alignment horizontal="right" vertical="center"/>
    </xf>
    <xf borderId="4" fillId="0" fontId="4" numFmtId="0" xfId="0" applyAlignment="1" applyBorder="1" applyFont="1">
      <alignment horizontal="left" vertical="center"/>
    </xf>
    <xf borderId="4" fillId="6" fontId="8" numFmtId="164" xfId="0" applyAlignment="1" applyBorder="1" applyFont="1" applyNumberFormat="1">
      <alignment horizontal="right" vertical="center"/>
    </xf>
    <xf borderId="4" fillId="6" fontId="61" numFmtId="164" xfId="0" applyAlignment="1" applyBorder="1" applyFont="1" applyNumberFormat="1">
      <alignment horizontal="right" vertical="center"/>
    </xf>
    <xf borderId="4" fillId="6" fontId="8" numFmtId="164" xfId="0" applyAlignment="1" applyBorder="1" applyFont="1" applyNumberFormat="1">
      <alignment vertical="bottom"/>
    </xf>
    <xf borderId="4" fillId="0" fontId="10" numFmtId="0" xfId="0" applyAlignment="1" applyBorder="1" applyFont="1">
      <alignment horizontal="left" vertical="center"/>
    </xf>
    <xf borderId="4" fillId="5" fontId="11" numFmtId="177" xfId="0" applyAlignment="1" applyBorder="1" applyFont="1" applyNumberFormat="1">
      <alignment horizontal="right" vertical="center"/>
    </xf>
    <xf borderId="4" fillId="5" fontId="12" numFmtId="164" xfId="0" applyAlignment="1" applyBorder="1" applyFont="1" applyNumberFormat="1">
      <alignment horizontal="right" vertical="center"/>
    </xf>
    <xf borderId="0" fillId="0" fontId="4" numFmtId="0" xfId="0" applyAlignment="1" applyFont="1">
      <alignment horizontal="center" shrinkToFit="0" vertical="center" wrapText="1"/>
    </xf>
    <xf borderId="1" fillId="6" fontId="8" numFmtId="164" xfId="0" applyAlignment="1" applyBorder="1" applyFont="1" applyNumberFormat="1">
      <alignment horizontal="center" shrinkToFit="0" vertical="center" wrapText="1"/>
    </xf>
    <xf borderId="1" fillId="6" fontId="8" numFmtId="164" xfId="0" applyAlignment="1" applyBorder="1" applyFont="1" applyNumberFormat="1">
      <alignment horizontal="center" vertical="center"/>
    </xf>
    <xf borderId="4" fillId="0" fontId="12" numFmtId="166" xfId="0" applyAlignment="1" applyBorder="1" applyFont="1" applyNumberFormat="1">
      <alignment horizontal="right" vertical="center"/>
    </xf>
    <xf borderId="4" fillId="0" fontId="62" numFmtId="0" xfId="0" applyAlignment="1" applyBorder="1" applyFont="1">
      <alignment horizontal="left" vertical="center"/>
    </xf>
    <xf borderId="4" fillId="32" fontId="8" numFmtId="164" xfId="0" applyAlignment="1" applyBorder="1" applyFill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1" fillId="5" fontId="12" numFmtId="169" xfId="0" applyAlignment="1" applyBorder="1" applyFont="1" applyNumberFormat="1">
      <alignment vertical="bottom"/>
    </xf>
    <xf borderId="0" fillId="0" fontId="12" numFmtId="0" xfId="0" applyAlignment="1" applyFont="1">
      <alignment horizontal="left" vertical="center"/>
    </xf>
    <xf borderId="0" fillId="0" fontId="12" numFmtId="166" xfId="0" applyAlignment="1" applyFont="1" applyNumberFormat="1">
      <alignment vertical="bottom"/>
    </xf>
    <xf borderId="0" fillId="0" fontId="12" numFmtId="170" xfId="0" applyAlignment="1" applyFont="1" applyNumberFormat="1">
      <alignment horizontal="center" shrinkToFit="0" vertical="center" wrapText="1"/>
    </xf>
    <xf borderId="0" fillId="0" fontId="12" numFmtId="170" xfId="0" applyAlignment="1" applyFont="1" applyNumberFormat="1">
      <alignment horizontal="center" vertical="center"/>
    </xf>
    <xf borderId="4" fillId="0" fontId="12" numFmtId="0" xfId="0" applyAlignment="1" applyBorder="1" applyFont="1">
      <alignment horizontal="center" shrinkToFit="0" vertical="center" wrapText="1"/>
    </xf>
    <xf borderId="4" fillId="0" fontId="12" numFmtId="166" xfId="0" applyAlignment="1" applyBorder="1" applyFont="1" applyNumberFormat="1">
      <alignment horizontal="center" shrinkToFit="0" vertical="center" wrapText="1"/>
    </xf>
    <xf borderId="4" fillId="0" fontId="12" numFmtId="166" xfId="0" applyAlignment="1" applyBorder="1" applyFont="1" applyNumberFormat="1">
      <alignment horizontal="center" vertical="center"/>
    </xf>
    <xf borderId="4" fillId="0" fontId="12" numFmtId="166" xfId="0" applyAlignment="1" applyBorder="1" applyFont="1" applyNumberFormat="1">
      <alignment horizontal="center" vertical="bottom"/>
    </xf>
    <xf borderId="4" fillId="0" fontId="12" numFmtId="166" xfId="0" applyAlignment="1" applyBorder="1" applyFont="1" applyNumberFormat="1">
      <alignment vertical="bottom"/>
    </xf>
    <xf borderId="4" fillId="0" fontId="12" numFmtId="164" xfId="0" applyAlignment="1" applyBorder="1" applyFont="1" applyNumberFormat="1">
      <alignment horizontal="right" vertical="center"/>
    </xf>
    <xf borderId="4" fillId="0" fontId="12" numFmtId="164" xfId="0" applyAlignment="1" applyBorder="1" applyFont="1" applyNumberFormat="1">
      <alignment vertical="bottom"/>
    </xf>
    <xf borderId="1" fillId="2" fontId="4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vertical="bottom"/>
    </xf>
    <xf borderId="4" fillId="5" fontId="11" numFmtId="164" xfId="0" applyAlignment="1" applyBorder="1" applyFont="1" applyNumberFormat="1">
      <alignment horizontal="right" vertical="center"/>
    </xf>
    <xf borderId="4" fillId="33" fontId="8" numFmtId="164" xfId="0" applyAlignment="1" applyBorder="1" applyFill="1" applyFont="1" applyNumberFormat="1">
      <alignment horizontal="right" vertical="center"/>
    </xf>
    <xf borderId="4" fillId="0" fontId="7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4" fillId="0" fontId="12" numFmtId="0" xfId="0" applyAlignment="1" applyBorder="1" applyFont="1">
      <alignment horizontal="left" vertical="center"/>
    </xf>
    <xf borderId="6" fillId="0" fontId="12" numFmtId="0" xfId="0" applyAlignment="1" applyBorder="1" applyFont="1">
      <alignment horizontal="left" vertical="center"/>
    </xf>
    <xf borderId="6" fillId="0" fontId="12" numFmtId="166" xfId="0" applyAlignment="1" applyBorder="1" applyFont="1" applyNumberFormat="1">
      <alignment horizontal="right" vertical="center"/>
    </xf>
    <xf borderId="1" fillId="11" fontId="7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4" fillId="13" fontId="3" numFmtId="0" xfId="0" applyAlignment="1" applyBorder="1" applyFont="1">
      <alignment horizontal="center" shrinkToFit="0" vertical="center" wrapText="1"/>
    </xf>
    <xf borderId="4" fillId="20" fontId="3" numFmtId="0" xfId="0" applyAlignment="1" applyBorder="1" applyFont="1">
      <alignment horizontal="left" vertical="center"/>
    </xf>
    <xf borderId="4" fillId="20" fontId="28" numFmtId="2" xfId="0" applyAlignment="1" applyBorder="1" applyFont="1" applyNumberFormat="1">
      <alignment horizontal="right" vertical="center"/>
    </xf>
    <xf borderId="4" fillId="18" fontId="33" numFmtId="2" xfId="0" applyAlignment="1" applyBorder="1" applyFont="1" applyNumberFormat="1">
      <alignment vertical="bottom"/>
    </xf>
    <xf borderId="4" fillId="28" fontId="7" numFmtId="0" xfId="0" applyAlignment="1" applyBorder="1" applyFont="1">
      <alignment horizontal="left" vertical="center"/>
    </xf>
    <xf borderId="4" fillId="28" fontId="28" numFmtId="2" xfId="0" applyAlignment="1" applyBorder="1" applyFont="1" applyNumberFormat="1">
      <alignment horizontal="right" vertical="center"/>
    </xf>
    <xf borderId="4" fillId="15" fontId="3" numFmtId="0" xfId="0" applyAlignment="1" applyBorder="1" applyFont="1">
      <alignment horizontal="left" vertical="center"/>
    </xf>
    <xf borderId="4" fillId="20" fontId="63" numFmtId="0" xfId="0" applyAlignment="1" applyBorder="1" applyFont="1">
      <alignment horizontal="left" shrinkToFit="0" vertical="center" wrapText="1"/>
    </xf>
    <xf borderId="4" fillId="20" fontId="34" numFmtId="0" xfId="0" applyAlignment="1" applyBorder="1" applyFont="1">
      <alignment horizontal="left" shrinkToFit="0" vertical="center" wrapText="1"/>
    </xf>
    <xf borderId="4" fillId="20" fontId="64" numFmtId="0" xfId="0" applyAlignment="1" applyBorder="1" applyFont="1">
      <alignment horizontal="left" shrinkToFit="0" vertical="center" wrapText="1"/>
    </xf>
    <xf borderId="4" fillId="20" fontId="34" numFmtId="0" xfId="0" applyAlignment="1" applyBorder="1" applyFont="1">
      <alignment horizontal="left" vertical="center"/>
    </xf>
    <xf borderId="4" fillId="28" fontId="65" numFmtId="0" xfId="0" applyAlignment="1" applyBorder="1" applyFont="1">
      <alignment horizontal="left" shrinkToFit="0" vertical="center" wrapText="1"/>
    </xf>
    <xf borderId="4" fillId="28" fontId="34" numFmtId="0" xfId="0" applyAlignment="1" applyBorder="1" applyFont="1">
      <alignment horizontal="left" shrinkToFit="0" vertical="center" wrapText="1"/>
    </xf>
    <xf borderId="4" fillId="28" fontId="64" numFmtId="0" xfId="0" applyAlignment="1" applyBorder="1" applyFont="1">
      <alignment horizontal="left" shrinkToFit="0" vertical="center" wrapText="1"/>
    </xf>
    <xf borderId="4" fillId="28" fontId="34" numFmtId="0" xfId="0" applyAlignment="1" applyBorder="1" applyFont="1">
      <alignment horizontal="left" vertical="center"/>
    </xf>
    <xf borderId="4" fillId="15" fontId="36" numFmtId="3" xfId="0" applyAlignment="1" applyBorder="1" applyFont="1" applyNumberFormat="1">
      <alignment horizontal="right" vertical="center"/>
    </xf>
    <xf borderId="4" fillId="18" fontId="36" numFmtId="3" xfId="0" applyAlignment="1" applyBorder="1" applyFont="1" applyNumberFormat="1">
      <alignment horizontal="right" vertical="center"/>
    </xf>
    <xf borderId="1" fillId="4" fontId="1" numFmtId="0" xfId="0" applyAlignment="1" applyBorder="1" applyFont="1">
      <alignment vertical="bottom"/>
    </xf>
    <xf borderId="0" fillId="0" fontId="7" numFmtId="0" xfId="0" applyAlignment="1" applyFont="1">
      <alignment horizontal="center" vertical="bottom"/>
    </xf>
    <xf borderId="0" fillId="0" fontId="8" numFmtId="164" xfId="0" applyAlignment="1" applyFont="1" applyNumberFormat="1">
      <alignment vertical="bottom"/>
    </xf>
    <xf borderId="0" fillId="0" fontId="27" numFmtId="166" xfId="0" applyAlignment="1" applyFont="1" applyNumberFormat="1">
      <alignment horizontal="right" vertical="center"/>
    </xf>
    <xf borderId="4" fillId="28" fontId="27" numFmtId="0" xfId="0" applyAlignment="1" applyBorder="1" applyFont="1">
      <alignment horizontal="left" vertical="center"/>
    </xf>
    <xf borderId="4" fillId="28" fontId="49" numFmtId="166" xfId="0" applyAlignment="1" applyBorder="1" applyFont="1" applyNumberFormat="1">
      <alignment horizontal="right" vertical="bottom"/>
    </xf>
    <xf borderId="4" fillId="28" fontId="66" numFmtId="166" xfId="0" applyAlignment="1" applyBorder="1" applyFont="1" applyNumberFormat="1">
      <alignment horizontal="right" vertical="center"/>
    </xf>
    <xf borderId="4" fillId="16" fontId="32" numFmtId="0" xfId="0" applyAlignment="1" applyBorder="1" applyFont="1">
      <alignment horizontal="left" vertical="center"/>
    </xf>
    <xf borderId="4" fillId="25" fontId="32" numFmtId="0" xfId="0" applyAlignment="1" applyBorder="1" applyFont="1">
      <alignment horizontal="left" vertical="center"/>
    </xf>
    <xf borderId="2" fillId="21" fontId="35" numFmtId="0" xfId="0" applyAlignment="1" applyBorder="1" applyFont="1">
      <alignment horizontal="left" vertical="center"/>
    </xf>
    <xf borderId="4" fillId="0" fontId="24" numFmtId="167" xfId="0" applyAlignment="1" applyBorder="1" applyFont="1" applyNumberFormat="1">
      <alignment horizontal="right" vertical="center"/>
    </xf>
    <xf borderId="4" fillId="0" fontId="24" numFmtId="170" xfId="0" applyAlignment="1" applyBorder="1" applyFont="1" applyNumberFormat="1">
      <alignment horizontal="right" vertical="center"/>
    </xf>
    <xf borderId="4" fillId="0" fontId="36" numFmtId="166" xfId="0" applyAlignment="1" applyBorder="1" applyFont="1" applyNumberFormat="1">
      <alignment horizontal="right" vertical="center"/>
    </xf>
    <xf borderId="4" fillId="5" fontId="28" numFmtId="166" xfId="0" applyAlignment="1" applyBorder="1" applyFont="1" applyNumberFormat="1">
      <alignment horizontal="right" vertical="center"/>
    </xf>
    <xf borderId="4" fillId="34" fontId="37" numFmtId="0" xfId="0" applyAlignment="1" applyBorder="1" applyFill="1" applyFont="1">
      <alignment horizontal="left" vertical="center"/>
    </xf>
    <xf borderId="4" fillId="34" fontId="67" numFmtId="166" xfId="0" applyAlignment="1" applyBorder="1" applyFont="1" applyNumberFormat="1">
      <alignment horizontal="right" vertical="center"/>
    </xf>
    <xf borderId="4" fillId="4" fontId="28" numFmtId="170" xfId="0" applyAlignment="1" applyBorder="1" applyFont="1" applyNumberFormat="1">
      <alignment horizontal="right" vertical="center"/>
    </xf>
    <xf borderId="4" fillId="5" fontId="28" numFmtId="170" xfId="0" applyAlignment="1" applyBorder="1" applyFont="1" applyNumberFormat="1">
      <alignment horizontal="right" vertical="center"/>
    </xf>
    <xf borderId="4" fillId="34" fontId="67" numFmtId="167" xfId="0" applyAlignment="1" applyBorder="1" applyFont="1" applyNumberFormat="1">
      <alignment horizontal="right" vertical="center"/>
    </xf>
    <xf borderId="4" fillId="16" fontId="30" numFmtId="166" xfId="0" applyAlignment="1" applyBorder="1" applyFont="1" applyNumberFormat="1">
      <alignment horizontal="right" vertical="center"/>
    </xf>
    <xf borderId="4" fillId="5" fontId="28" numFmtId="167" xfId="0" applyAlignment="1" applyBorder="1" applyFont="1" applyNumberFormat="1">
      <alignment horizontal="right" vertical="center"/>
    </xf>
    <xf borderId="4" fillId="4" fontId="28" numFmtId="166" xfId="0" applyAlignment="1" applyBorder="1" applyFont="1" applyNumberFormat="1">
      <alignment horizontal="right" vertical="center"/>
    </xf>
    <xf borderId="4" fillId="0" fontId="30" numFmtId="175" xfId="0" applyAlignment="1" applyBorder="1" applyFont="1" applyNumberFormat="1">
      <alignment horizontal="right" vertical="center"/>
    </xf>
    <xf borderId="4" fillId="0" fontId="30" numFmtId="179" xfId="0" applyAlignment="1" applyBorder="1" applyFont="1" applyNumberFormat="1">
      <alignment horizontal="right" vertical="center"/>
    </xf>
    <xf borderId="4" fillId="18" fontId="68" numFmtId="166" xfId="0" applyAlignment="1" applyBorder="1" applyFont="1" applyNumberFormat="1">
      <alignment horizontal="right" vertical="center"/>
    </xf>
    <xf borderId="4" fillId="18" fontId="68" numFmtId="170" xfId="0" applyAlignment="1" applyBorder="1" applyFont="1" applyNumberFormat="1">
      <alignment horizontal="right" vertical="center"/>
    </xf>
    <xf borderId="4" fillId="15" fontId="69" numFmtId="0" xfId="0" applyAlignment="1" applyBorder="1" applyFont="1">
      <alignment horizontal="left" vertical="center"/>
    </xf>
    <xf borderId="0" fillId="0" fontId="16" numFmtId="0" xfId="0" applyAlignment="1" applyFont="1">
      <alignment vertical="bottom"/>
    </xf>
    <xf borderId="0" fillId="0" fontId="70" numFmtId="0" xfId="0" applyAlignment="1" applyFont="1">
      <alignment vertical="bottom"/>
    </xf>
    <xf borderId="0" fillId="0" fontId="71" numFmtId="0" xfId="0" applyAlignment="1" applyFont="1">
      <alignment vertical="bottom"/>
    </xf>
    <xf borderId="2" fillId="2" fontId="72" numFmtId="0" xfId="0" applyAlignment="1" applyBorder="1" applyFont="1">
      <alignment vertical="bottom"/>
    </xf>
    <xf borderId="0" fillId="0" fontId="73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74" numFmtId="0" xfId="0" applyAlignment="1" applyFont="1">
      <alignment vertical="bottom"/>
    </xf>
    <xf borderId="1" fillId="4" fontId="73" numFmtId="0" xfId="0" applyAlignment="1" applyBorder="1" applyFont="1">
      <alignment vertical="bottom"/>
    </xf>
    <xf borderId="1" fillId="4" fontId="74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C8E6C9"/>
          <bgColor rgb="FFC8E6C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5F8A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44.0"/>
    <col customWidth="1" min="3" max="6" width="15.0"/>
    <col customWidth="1" min="7" max="7" width="40.0"/>
    <col customWidth="1" min="8" max="16" width="8.7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4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5" t="s">
        <v>3</v>
      </c>
      <c r="C6" s="5" t="s">
        <v>4</v>
      </c>
      <c r="D6" s="5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6" t="s">
        <v>6</v>
      </c>
      <c r="C7" s="7">
        <v>0.0988</v>
      </c>
      <c r="D7" s="3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6" t="s">
        <v>8</v>
      </c>
      <c r="C8" s="7">
        <v>0.0162</v>
      </c>
      <c r="D8" s="3" t="s">
        <v>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6" t="s">
        <v>10</v>
      </c>
      <c r="C9" s="7">
        <v>0.0023</v>
      </c>
      <c r="D9" s="3" t="s">
        <v>11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6" t="s">
        <v>12</v>
      </c>
      <c r="C10" s="7">
        <v>0.183</v>
      </c>
      <c r="D10" s="3" t="s">
        <v>13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6" t="s">
        <v>14</v>
      </c>
      <c r="C11" s="7">
        <v>0.0036</v>
      </c>
      <c r="D11" s="3" t="s">
        <v>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3" t="s">
        <v>16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8" t="s">
        <v>17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4" t="s">
        <v>18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5" t="s">
        <v>3</v>
      </c>
      <c r="C16" s="5" t="s">
        <v>19</v>
      </c>
      <c r="D16" s="5" t="s">
        <v>20</v>
      </c>
      <c r="E16" s="5" t="s">
        <v>21</v>
      </c>
      <c r="F16" s="5" t="s">
        <v>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6" t="s">
        <v>22</v>
      </c>
      <c r="C17" s="9">
        <v>62000.0</v>
      </c>
      <c r="D17" s="9">
        <v>62000.0</v>
      </c>
      <c r="E17" s="9">
        <v>62000.0</v>
      </c>
      <c r="F17" s="3" t="s">
        <v>23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6" t="s">
        <v>24</v>
      </c>
      <c r="C18" s="10" t="s">
        <v>25</v>
      </c>
      <c r="D18" s="10" t="s">
        <v>25</v>
      </c>
      <c r="E18" s="10" t="s">
        <v>25</v>
      </c>
      <c r="F18" s="11" t="s">
        <v>26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6" t="s">
        <v>27</v>
      </c>
      <c r="C19" s="12" t="str">
        <f t="shared" ref="C19:E19" si="1">IF(C18="はい","〇","×")</f>
        <v>×</v>
      </c>
      <c r="D19" s="12" t="str">
        <f t="shared" si="1"/>
        <v>×</v>
      </c>
      <c r="E19" s="12" t="str">
        <f t="shared" si="1"/>
        <v>×</v>
      </c>
      <c r="F19" s="3" t="s">
        <v>28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 t="s">
        <v>29</v>
      </c>
      <c r="C20" s="10" t="s">
        <v>30</v>
      </c>
      <c r="D20" s="10" t="s">
        <v>30</v>
      </c>
      <c r="E20" s="10" t="s">
        <v>30</v>
      </c>
      <c r="F20" s="3" t="s">
        <v>31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6" t="s">
        <v>32</v>
      </c>
      <c r="C21" s="9">
        <v>0.0</v>
      </c>
      <c r="D21" s="9">
        <v>0.0</v>
      </c>
      <c r="E21" s="9"/>
      <c r="F21" s="3" t="s">
        <v>33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4" t="s">
        <v>34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5" t="s">
        <v>35</v>
      </c>
      <c r="C25" s="5" t="s">
        <v>36</v>
      </c>
      <c r="D25" s="5" t="s">
        <v>37</v>
      </c>
      <c r="E25" s="5" t="s">
        <v>38</v>
      </c>
      <c r="F25" s="5" t="s">
        <v>39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3">
        <v>1.0</v>
      </c>
      <c r="C26" s="13"/>
      <c r="D26" s="14">
        <v>58000.0</v>
      </c>
      <c r="E26" s="14">
        <v>0.0</v>
      </c>
      <c r="F26" s="14">
        <v>63000.0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3">
        <v>2.0</v>
      </c>
      <c r="C27" s="13"/>
      <c r="D27" s="14">
        <v>68000.0</v>
      </c>
      <c r="E27" s="14">
        <v>63000.0</v>
      </c>
      <c r="F27" s="14">
        <v>73000.0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3">
        <v>3.0</v>
      </c>
      <c r="C28" s="13"/>
      <c r="D28" s="14">
        <v>78000.0</v>
      </c>
      <c r="E28" s="14">
        <v>73000.0</v>
      </c>
      <c r="F28" s="14">
        <v>83000.0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3">
        <v>4.0</v>
      </c>
      <c r="C29" s="13">
        <v>1.0</v>
      </c>
      <c r="D29" s="14">
        <v>88000.0</v>
      </c>
      <c r="E29" s="14">
        <v>83000.0</v>
      </c>
      <c r="F29" s="14">
        <v>93000.0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3">
        <v>5.0</v>
      </c>
      <c r="C30" s="13">
        <v>2.0</v>
      </c>
      <c r="D30" s="14">
        <v>98000.0</v>
      </c>
      <c r="E30" s="14">
        <v>93000.0</v>
      </c>
      <c r="F30" s="14">
        <v>101000.0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3">
        <v>6.0</v>
      </c>
      <c r="C31" s="13">
        <v>3.0</v>
      </c>
      <c r="D31" s="14">
        <v>104000.0</v>
      </c>
      <c r="E31" s="14">
        <v>101000.0</v>
      </c>
      <c r="F31" s="14">
        <v>107000.0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3">
        <v>7.0</v>
      </c>
      <c r="C32" s="13">
        <v>4.0</v>
      </c>
      <c r="D32" s="14">
        <v>110000.0</v>
      </c>
      <c r="E32" s="14">
        <v>107000.0</v>
      </c>
      <c r="F32" s="14">
        <v>114000.0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3">
        <v>8.0</v>
      </c>
      <c r="C33" s="13">
        <v>5.0</v>
      </c>
      <c r="D33" s="14">
        <v>118000.0</v>
      </c>
      <c r="E33" s="14">
        <v>114000.0</v>
      </c>
      <c r="F33" s="14">
        <v>122000.0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3">
        <v>9.0</v>
      </c>
      <c r="C34" s="13">
        <v>6.0</v>
      </c>
      <c r="D34" s="14">
        <v>126000.0</v>
      </c>
      <c r="E34" s="14">
        <v>122000.0</v>
      </c>
      <c r="F34" s="14">
        <v>130000.0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3">
        <v>10.0</v>
      </c>
      <c r="C35" s="13">
        <v>7.0</v>
      </c>
      <c r="D35" s="14">
        <v>134000.0</v>
      </c>
      <c r="E35" s="14">
        <v>130000.0</v>
      </c>
      <c r="F35" s="14">
        <v>138000.0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3">
        <v>11.0</v>
      </c>
      <c r="C36" s="13">
        <v>8.0</v>
      </c>
      <c r="D36" s="14">
        <v>142000.0</v>
      </c>
      <c r="E36" s="14">
        <v>138000.0</v>
      </c>
      <c r="F36" s="14">
        <v>146000.0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3">
        <v>12.0</v>
      </c>
      <c r="C37" s="13">
        <v>9.0</v>
      </c>
      <c r="D37" s="14">
        <v>150000.0</v>
      </c>
      <c r="E37" s="14">
        <v>146000.0</v>
      </c>
      <c r="F37" s="14">
        <v>155000.0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3">
        <v>13.0</v>
      </c>
      <c r="C38" s="13">
        <v>10.0</v>
      </c>
      <c r="D38" s="14">
        <v>160000.0</v>
      </c>
      <c r="E38" s="14">
        <v>155000.0</v>
      </c>
      <c r="F38" s="14">
        <v>165000.0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3">
        <v>14.0</v>
      </c>
      <c r="C39" s="13">
        <v>11.0</v>
      </c>
      <c r="D39" s="14">
        <v>170000.0</v>
      </c>
      <c r="E39" s="14">
        <v>165000.0</v>
      </c>
      <c r="F39" s="14">
        <v>175000.0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3">
        <v>15.0</v>
      </c>
      <c r="C40" s="13">
        <v>12.0</v>
      </c>
      <c r="D40" s="14">
        <v>180000.0</v>
      </c>
      <c r="E40" s="14">
        <v>175000.0</v>
      </c>
      <c r="F40" s="14">
        <v>185000.0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3">
        <v>16.0</v>
      </c>
      <c r="C41" s="13">
        <v>13.0</v>
      </c>
      <c r="D41" s="14">
        <v>190000.0</v>
      </c>
      <c r="E41" s="14">
        <v>185000.0</v>
      </c>
      <c r="F41" s="14">
        <v>195000.0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3">
        <v>17.0</v>
      </c>
      <c r="C42" s="13">
        <v>14.0</v>
      </c>
      <c r="D42" s="14">
        <v>200000.0</v>
      </c>
      <c r="E42" s="14">
        <v>195000.0</v>
      </c>
      <c r="F42" s="14">
        <v>210000.0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13">
        <v>18.0</v>
      </c>
      <c r="C43" s="13">
        <v>15.0</v>
      </c>
      <c r="D43" s="14">
        <v>220000.0</v>
      </c>
      <c r="E43" s="14">
        <v>210000.0</v>
      </c>
      <c r="F43" s="14">
        <v>230000.0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3">
        <v>19.0</v>
      </c>
      <c r="C44" s="13">
        <v>16.0</v>
      </c>
      <c r="D44" s="14">
        <v>240000.0</v>
      </c>
      <c r="E44" s="14">
        <v>230000.0</v>
      </c>
      <c r="F44" s="14">
        <v>250000.0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13">
        <v>20.0</v>
      </c>
      <c r="C45" s="13">
        <v>17.0</v>
      </c>
      <c r="D45" s="14">
        <v>260000.0</v>
      </c>
      <c r="E45" s="14">
        <v>250000.0</v>
      </c>
      <c r="F45" s="14">
        <v>270000.0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3">
        <v>21.0</v>
      </c>
      <c r="C46" s="13">
        <v>18.0</v>
      </c>
      <c r="D46" s="14">
        <v>280000.0</v>
      </c>
      <c r="E46" s="14">
        <v>270000.0</v>
      </c>
      <c r="F46" s="14">
        <v>290000.0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3">
        <v>22.0</v>
      </c>
      <c r="C47" s="13">
        <v>19.0</v>
      </c>
      <c r="D47" s="14">
        <v>300000.0</v>
      </c>
      <c r="E47" s="14">
        <v>290000.0</v>
      </c>
      <c r="F47" s="14">
        <v>310000.0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3">
        <v>23.0</v>
      </c>
      <c r="C48" s="13">
        <v>20.0</v>
      </c>
      <c r="D48" s="14">
        <v>320000.0</v>
      </c>
      <c r="E48" s="14">
        <v>310000.0</v>
      </c>
      <c r="F48" s="14">
        <v>330000.0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3">
        <v>24.0</v>
      </c>
      <c r="C49" s="13">
        <v>21.0</v>
      </c>
      <c r="D49" s="14">
        <v>340000.0</v>
      </c>
      <c r="E49" s="14">
        <v>330000.0</v>
      </c>
      <c r="F49" s="14">
        <v>350000.0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3">
        <v>25.0</v>
      </c>
      <c r="C50" s="13">
        <v>22.0</v>
      </c>
      <c r="D50" s="14">
        <v>360000.0</v>
      </c>
      <c r="E50" s="14">
        <v>350000.0</v>
      </c>
      <c r="F50" s="14">
        <v>370000.0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13">
        <v>26.0</v>
      </c>
      <c r="C51" s="13">
        <v>23.0</v>
      </c>
      <c r="D51" s="14">
        <v>380000.0</v>
      </c>
      <c r="E51" s="14">
        <v>370000.0</v>
      </c>
      <c r="F51" s="14">
        <v>395000.0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3">
        <v>27.0</v>
      </c>
      <c r="C52" s="13">
        <v>24.0</v>
      </c>
      <c r="D52" s="14">
        <v>410000.0</v>
      </c>
      <c r="E52" s="14">
        <v>395000.0</v>
      </c>
      <c r="F52" s="14">
        <v>425000.0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13">
        <v>28.0</v>
      </c>
      <c r="C53" s="13">
        <v>25.0</v>
      </c>
      <c r="D53" s="14">
        <v>440000.0</v>
      </c>
      <c r="E53" s="14">
        <v>425000.0</v>
      </c>
      <c r="F53" s="14">
        <v>455000.0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13">
        <v>29.0</v>
      </c>
      <c r="C54" s="13">
        <v>26.0</v>
      </c>
      <c r="D54" s="14">
        <v>470000.0</v>
      </c>
      <c r="E54" s="14">
        <v>455000.0</v>
      </c>
      <c r="F54" s="14">
        <v>485000.0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3">
        <v>30.0</v>
      </c>
      <c r="C55" s="13">
        <v>27.0</v>
      </c>
      <c r="D55" s="14">
        <v>500000.0</v>
      </c>
      <c r="E55" s="14">
        <v>485000.0</v>
      </c>
      <c r="F55" s="14">
        <v>515000.0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4" t="s">
        <v>40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5" t="s">
        <v>3</v>
      </c>
      <c r="C59" s="5" t="s">
        <v>19</v>
      </c>
      <c r="D59" s="5" t="s">
        <v>20</v>
      </c>
      <c r="E59" s="5" t="s">
        <v>21</v>
      </c>
      <c r="F59" s="5" t="s">
        <v>41</v>
      </c>
      <c r="G59" s="5" t="s">
        <v>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6" t="s">
        <v>37</v>
      </c>
      <c r="C60" s="15">
        <f t="shared" ref="C60:E60" si="2">IF(C20="いいえ",0,IFERROR(INDEX($D$26:$D$55,MATCH(C17,$E$26:$E$55,1)),88000))</f>
        <v>58000</v>
      </c>
      <c r="D60" s="15">
        <f t="shared" si="2"/>
        <v>58000</v>
      </c>
      <c r="E60" s="15">
        <f t="shared" si="2"/>
        <v>58000</v>
      </c>
      <c r="F60" s="15">
        <f t="shared" ref="F60:F65" si="4">SUM(C60:E60)</f>
        <v>174000</v>
      </c>
      <c r="G60" s="3" t="s">
        <v>42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6" t="s">
        <v>43</v>
      </c>
      <c r="C61" s="15">
        <f t="shared" ref="C61:E61" si="3">C60*($C$7+IF(C19="〇",$C$8,0))</f>
        <v>5730.4</v>
      </c>
      <c r="D61" s="15">
        <f t="shared" si="3"/>
        <v>5730.4</v>
      </c>
      <c r="E61" s="15">
        <f t="shared" si="3"/>
        <v>5730.4</v>
      </c>
      <c r="F61" s="15">
        <f t="shared" si="4"/>
        <v>17191.2</v>
      </c>
      <c r="G61" s="3" t="s">
        <v>44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6" t="s">
        <v>45</v>
      </c>
      <c r="C62" s="15">
        <f t="shared" ref="C62:E62" si="5">C60*$C$9</f>
        <v>133.4</v>
      </c>
      <c r="D62" s="15">
        <f t="shared" si="5"/>
        <v>133.4</v>
      </c>
      <c r="E62" s="15">
        <f t="shared" si="5"/>
        <v>133.4</v>
      </c>
      <c r="F62" s="15">
        <f t="shared" si="4"/>
        <v>400.2</v>
      </c>
      <c r="G62" s="11" t="s">
        <v>46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6" t="s">
        <v>47</v>
      </c>
      <c r="C63" s="15">
        <f t="shared" ref="C63:E63" si="6">C60*$C$10</f>
        <v>10614</v>
      </c>
      <c r="D63" s="15">
        <f t="shared" si="6"/>
        <v>10614</v>
      </c>
      <c r="E63" s="15">
        <f t="shared" si="6"/>
        <v>10614</v>
      </c>
      <c r="F63" s="15">
        <f t="shared" si="4"/>
        <v>31842</v>
      </c>
      <c r="G63" s="3" t="s">
        <v>48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6" t="s">
        <v>49</v>
      </c>
      <c r="C64" s="15">
        <f t="shared" ref="C64:E64" si="7">C60*$C$11</f>
        <v>208.8</v>
      </c>
      <c r="D64" s="15">
        <f t="shared" si="7"/>
        <v>208.8</v>
      </c>
      <c r="E64" s="15">
        <f t="shared" si="7"/>
        <v>208.8</v>
      </c>
      <c r="F64" s="15">
        <f t="shared" si="4"/>
        <v>626.4</v>
      </c>
      <c r="G64" s="3" t="s">
        <v>50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6" t="s">
        <v>51</v>
      </c>
      <c r="C65" s="17">
        <f t="shared" ref="C65:E65" si="8">SUM(C61:C64)</f>
        <v>16686.6</v>
      </c>
      <c r="D65" s="17">
        <f t="shared" si="8"/>
        <v>16686.6</v>
      </c>
      <c r="E65" s="17">
        <f t="shared" si="8"/>
        <v>16686.6</v>
      </c>
      <c r="F65" s="17">
        <f t="shared" si="4"/>
        <v>50059.8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8" t="s">
        <v>52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6" t="s">
        <v>53</v>
      </c>
      <c r="C68" s="15">
        <f t="shared" ref="C68:E68" si="9">(C61+C62+C63)/2</f>
        <v>8238.9</v>
      </c>
      <c r="D68" s="15">
        <f t="shared" si="9"/>
        <v>8238.9</v>
      </c>
      <c r="E68" s="15">
        <f t="shared" si="9"/>
        <v>8238.9</v>
      </c>
      <c r="F68" s="15">
        <f>SUM(C68:E68)</f>
        <v>24716.7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8" t="s">
        <v>54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6" t="s">
        <v>55</v>
      </c>
      <c r="C71" s="19">
        <f t="shared" ref="C71:E71" si="10">(C61+C62+C63)/2+C64</f>
        <v>8447.7</v>
      </c>
      <c r="D71" s="19">
        <f t="shared" si="10"/>
        <v>8447.7</v>
      </c>
      <c r="E71" s="19">
        <f t="shared" si="10"/>
        <v>8447.7</v>
      </c>
      <c r="F71" s="19">
        <f>SUM(C71:E71)</f>
        <v>25343.1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4" t="s">
        <v>56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5" t="s">
        <v>3</v>
      </c>
      <c r="C75" s="5" t="s">
        <v>19</v>
      </c>
      <c r="D75" s="5" t="s">
        <v>20</v>
      </c>
      <c r="E75" s="5" t="s">
        <v>21</v>
      </c>
      <c r="F75" s="5" t="s">
        <v>41</v>
      </c>
      <c r="G75" s="5" t="s">
        <v>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6" t="s">
        <v>57</v>
      </c>
      <c r="C76" s="15">
        <f t="shared" ref="C76:E76" si="11">IF(C20="いいえ",0,ROUNDDOWN(C21,-3))</f>
        <v>0</v>
      </c>
      <c r="D76" s="15">
        <f t="shared" si="11"/>
        <v>0</v>
      </c>
      <c r="E76" s="15">
        <f t="shared" si="11"/>
        <v>0</v>
      </c>
      <c r="F76" s="14">
        <f t="shared" ref="F76:F78" si="13">SUM(C76:E76)</f>
        <v>0</v>
      </c>
      <c r="G76" s="3" t="s">
        <v>58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6" t="s">
        <v>59</v>
      </c>
      <c r="C77" s="15">
        <f t="shared" ref="C77:E77" si="12">C76*($C$7+IF(C19="〇",$C$8,0)+$C$9+$C$10+$C$11)</f>
        <v>0</v>
      </c>
      <c r="D77" s="15">
        <f t="shared" si="12"/>
        <v>0</v>
      </c>
      <c r="E77" s="15">
        <f t="shared" si="12"/>
        <v>0</v>
      </c>
      <c r="F77" s="14">
        <f t="shared" si="13"/>
        <v>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6" t="s">
        <v>60</v>
      </c>
      <c r="C78" s="19">
        <f t="shared" ref="C78:E78" si="14">C76*(($C$7+IF(C19="〇",$C$8,0)+$C$9+$C$10)/2+$C$11)</f>
        <v>0</v>
      </c>
      <c r="D78" s="19">
        <f t="shared" si="14"/>
        <v>0</v>
      </c>
      <c r="E78" s="19">
        <f t="shared" si="14"/>
        <v>0</v>
      </c>
      <c r="F78" s="14">
        <f t="shared" si="13"/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4" t="s">
        <v>61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5" t="s">
        <v>3</v>
      </c>
      <c r="C82" s="5" t="s">
        <v>19</v>
      </c>
      <c r="D82" s="5" t="s">
        <v>20</v>
      </c>
      <c r="E82" s="5" t="s">
        <v>21</v>
      </c>
      <c r="F82" s="5" t="s">
        <v>41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6" t="s">
        <v>62</v>
      </c>
      <c r="C83" s="15">
        <f t="shared" ref="C83:E83" si="15">C17*12</f>
        <v>744000</v>
      </c>
      <c r="D83" s="15">
        <f t="shared" si="15"/>
        <v>744000</v>
      </c>
      <c r="E83" s="15">
        <f t="shared" si="15"/>
        <v>744000</v>
      </c>
      <c r="F83" s="14">
        <f t="shared" ref="F83:F86" si="17">SUM(C83:E83)</f>
        <v>2232000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6" t="s">
        <v>63</v>
      </c>
      <c r="C84" s="15">
        <f t="shared" ref="C84:E84" si="16">C21</f>
        <v>0</v>
      </c>
      <c r="D84" s="15">
        <f t="shared" si="16"/>
        <v>0</v>
      </c>
      <c r="E84" s="15" t="str">
        <f t="shared" si="16"/>
        <v/>
      </c>
      <c r="F84" s="14">
        <f t="shared" si="17"/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6" t="s">
        <v>64</v>
      </c>
      <c r="C85" s="15">
        <f t="shared" ref="C85:E85" si="18">C71*12+C78</f>
        <v>101372.4</v>
      </c>
      <c r="D85" s="15">
        <f t="shared" si="18"/>
        <v>101372.4</v>
      </c>
      <c r="E85" s="15">
        <f t="shared" si="18"/>
        <v>101372.4</v>
      </c>
      <c r="F85" s="14">
        <f t="shared" si="17"/>
        <v>304117.2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16" t="s">
        <v>65</v>
      </c>
      <c r="C86" s="20">
        <f t="shared" ref="C86:E86" si="19">C83+C84+C85</f>
        <v>845372.4</v>
      </c>
      <c r="D86" s="20">
        <f t="shared" si="19"/>
        <v>845372.4</v>
      </c>
      <c r="E86" s="20">
        <f t="shared" si="19"/>
        <v>845372.4</v>
      </c>
      <c r="F86" s="20">
        <f t="shared" si="17"/>
        <v>2536117.2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21" t="s">
        <v>66</v>
      </c>
      <c r="C88" s="22">
        <f t="shared" ref="C88:E88" si="20">(C83+C84)-(C68*12+(C77-C78))-(C83+C84)*0.1</f>
        <v>570733.2</v>
      </c>
      <c r="D88" s="22">
        <f t="shared" si="20"/>
        <v>570733.2</v>
      </c>
      <c r="E88" s="22">
        <f t="shared" si="20"/>
        <v>570733.2</v>
      </c>
      <c r="F88" s="23">
        <f>SUM(C88:E88)</f>
        <v>1712199.6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24"/>
      <c r="B91" s="4" t="s">
        <v>67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24"/>
      <c r="B92" s="3" t="s">
        <v>68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24"/>
      <c r="B93" s="3" t="s">
        <v>69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24"/>
      <c r="B95" s="5" t="s">
        <v>70</v>
      </c>
      <c r="C95" s="25" t="s">
        <v>19</v>
      </c>
      <c r="D95" s="5" t="s">
        <v>20</v>
      </c>
      <c r="E95" s="5" t="s">
        <v>21</v>
      </c>
      <c r="F95" s="5" t="s">
        <v>41</v>
      </c>
      <c r="G95" s="5" t="s">
        <v>5</v>
      </c>
      <c r="H95" s="24"/>
      <c r="I95" s="24"/>
      <c r="J95" s="24"/>
      <c r="K95" s="24"/>
      <c r="L95" s="24"/>
      <c r="M95" s="24"/>
      <c r="N95" s="24"/>
      <c r="O95" s="24"/>
      <c r="P95" s="24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24"/>
      <c r="B96" s="6" t="s">
        <v>71</v>
      </c>
      <c r="C96" s="26">
        <v>0.0</v>
      </c>
      <c r="D96" s="26">
        <v>0.0</v>
      </c>
      <c r="E96" s="26">
        <v>0.0</v>
      </c>
      <c r="F96" s="27">
        <f t="shared" ref="F96:F104" si="21">SUM(C96:E96)</f>
        <v>0</v>
      </c>
      <c r="G96" s="3" t="s">
        <v>72</v>
      </c>
      <c r="H96" s="24"/>
      <c r="I96" s="24"/>
      <c r="J96" s="24"/>
      <c r="K96" s="24"/>
      <c r="L96" s="24"/>
      <c r="M96" s="24"/>
      <c r="N96" s="24"/>
      <c r="O96" s="24"/>
      <c r="P96" s="24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24"/>
      <c r="B97" s="6" t="s">
        <v>73</v>
      </c>
      <c r="C97" s="26">
        <v>0.0</v>
      </c>
      <c r="D97" s="26">
        <v>0.0</v>
      </c>
      <c r="E97" s="26">
        <v>0.0</v>
      </c>
      <c r="F97" s="27">
        <f t="shared" si="21"/>
        <v>0</v>
      </c>
      <c r="G97" s="3" t="s">
        <v>74</v>
      </c>
      <c r="H97" s="24"/>
      <c r="I97" s="24"/>
      <c r="J97" s="24"/>
      <c r="K97" s="24"/>
      <c r="L97" s="24"/>
      <c r="M97" s="24"/>
      <c r="N97" s="24"/>
      <c r="O97" s="24"/>
      <c r="P97" s="24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24"/>
      <c r="B98" s="6" t="s">
        <v>75</v>
      </c>
      <c r="C98" s="26">
        <v>0.0</v>
      </c>
      <c r="D98" s="26">
        <v>0.0</v>
      </c>
      <c r="E98" s="26">
        <v>0.0</v>
      </c>
      <c r="F98" s="27">
        <f t="shared" si="21"/>
        <v>0</v>
      </c>
      <c r="G98" s="3" t="s">
        <v>76</v>
      </c>
      <c r="H98" s="24"/>
      <c r="I98" s="24"/>
      <c r="J98" s="24"/>
      <c r="K98" s="24"/>
      <c r="L98" s="24"/>
      <c r="M98" s="24"/>
      <c r="N98" s="24"/>
      <c r="O98" s="24"/>
      <c r="P98" s="24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24"/>
      <c r="B99" s="6" t="s">
        <v>77</v>
      </c>
      <c r="C99" s="26">
        <v>0.0</v>
      </c>
      <c r="D99" s="26">
        <v>0.0</v>
      </c>
      <c r="E99" s="26">
        <v>0.0</v>
      </c>
      <c r="F99" s="27">
        <f t="shared" si="21"/>
        <v>0</v>
      </c>
      <c r="G99" s="3" t="s">
        <v>78</v>
      </c>
      <c r="H99" s="24"/>
      <c r="I99" s="24"/>
      <c r="J99" s="24"/>
      <c r="K99" s="24"/>
      <c r="L99" s="24"/>
      <c r="M99" s="24"/>
      <c r="N99" s="24"/>
      <c r="O99" s="24"/>
      <c r="P99" s="24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24"/>
      <c r="B100" s="6" t="s">
        <v>79</v>
      </c>
      <c r="C100" s="26">
        <v>0.0</v>
      </c>
      <c r="D100" s="26">
        <v>0.0</v>
      </c>
      <c r="E100" s="26">
        <v>0.0</v>
      </c>
      <c r="F100" s="27">
        <f t="shared" si="21"/>
        <v>0</v>
      </c>
      <c r="G100" s="11" t="s">
        <v>80</v>
      </c>
      <c r="H100" s="24"/>
      <c r="I100" s="24"/>
      <c r="J100" s="24"/>
      <c r="K100" s="24"/>
      <c r="L100" s="24"/>
      <c r="M100" s="24"/>
      <c r="N100" s="24"/>
      <c r="O100" s="24"/>
      <c r="P100" s="24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4"/>
      <c r="B101" s="6" t="s">
        <v>81</v>
      </c>
      <c r="C101" s="26">
        <v>0.0</v>
      </c>
      <c r="D101" s="26">
        <v>0.0</v>
      </c>
      <c r="E101" s="26">
        <v>0.0</v>
      </c>
      <c r="F101" s="27">
        <f t="shared" si="21"/>
        <v>0</v>
      </c>
      <c r="G101" s="3" t="s">
        <v>82</v>
      </c>
      <c r="H101" s="24"/>
      <c r="I101" s="24"/>
      <c r="J101" s="24"/>
      <c r="K101" s="24"/>
      <c r="L101" s="24"/>
      <c r="M101" s="24"/>
      <c r="N101" s="24"/>
      <c r="O101" s="24"/>
      <c r="P101" s="24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24"/>
      <c r="B102" s="6" t="s">
        <v>83</v>
      </c>
      <c r="C102" s="26">
        <v>0.0</v>
      </c>
      <c r="D102" s="26">
        <v>0.0</v>
      </c>
      <c r="E102" s="26">
        <v>0.0</v>
      </c>
      <c r="F102" s="27">
        <f t="shared" si="21"/>
        <v>0</v>
      </c>
      <c r="G102" s="3" t="s">
        <v>84</v>
      </c>
      <c r="H102" s="24"/>
      <c r="I102" s="24"/>
      <c r="J102" s="24"/>
      <c r="K102" s="24"/>
      <c r="L102" s="24"/>
      <c r="M102" s="24"/>
      <c r="N102" s="24"/>
      <c r="O102" s="24"/>
      <c r="P102" s="24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24"/>
      <c r="B103" s="16" t="s">
        <v>85</v>
      </c>
      <c r="C103" s="17">
        <f t="shared" ref="C103:E103" si="22">SUM(C96:C102)</f>
        <v>0</v>
      </c>
      <c r="D103" s="17">
        <f t="shared" si="22"/>
        <v>0</v>
      </c>
      <c r="E103" s="17">
        <f t="shared" si="22"/>
        <v>0</v>
      </c>
      <c r="F103" s="17">
        <f t="shared" si="21"/>
        <v>0</v>
      </c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24"/>
      <c r="B104" s="21" t="s">
        <v>86</v>
      </c>
      <c r="C104" s="27">
        <f t="shared" ref="C104:E104" si="23">C103*8</f>
        <v>0</v>
      </c>
      <c r="D104" s="27">
        <f t="shared" si="23"/>
        <v>0</v>
      </c>
      <c r="E104" s="27">
        <f t="shared" si="23"/>
        <v>0</v>
      </c>
      <c r="F104" s="28">
        <f t="shared" si="21"/>
        <v>0</v>
      </c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24"/>
      <c r="B105" s="24"/>
      <c r="C105" s="28"/>
      <c r="D105" s="28"/>
      <c r="E105" s="28"/>
      <c r="F105" s="28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24"/>
      <c r="B106" s="24"/>
      <c r="C106" s="28"/>
      <c r="D106" s="28"/>
      <c r="E106" s="28"/>
      <c r="F106" s="28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24"/>
      <c r="B107" s="29" t="s">
        <v>87</v>
      </c>
      <c r="C107" s="28"/>
      <c r="D107" s="28"/>
      <c r="E107" s="28"/>
      <c r="F107" s="28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24"/>
      <c r="B108" s="3" t="s">
        <v>88</v>
      </c>
      <c r="C108" s="28"/>
      <c r="D108" s="28"/>
      <c r="E108" s="28"/>
      <c r="F108" s="28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24"/>
      <c r="B109" s="24"/>
      <c r="C109" s="28"/>
      <c r="D109" s="28"/>
      <c r="E109" s="28"/>
      <c r="F109" s="28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24"/>
      <c r="B110" s="5" t="s">
        <v>3</v>
      </c>
      <c r="C110" s="25" t="s">
        <v>19</v>
      </c>
      <c r="D110" s="25" t="s">
        <v>20</v>
      </c>
      <c r="E110" s="25" t="s">
        <v>21</v>
      </c>
      <c r="F110" s="25" t="s">
        <v>41</v>
      </c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4"/>
      <c r="B111" s="6" t="s">
        <v>89</v>
      </c>
      <c r="C111" s="27">
        <f t="shared" ref="C111:E111" si="24">C17</f>
        <v>62000</v>
      </c>
      <c r="D111" s="27">
        <f t="shared" si="24"/>
        <v>62000</v>
      </c>
      <c r="E111" s="27">
        <f t="shared" si="24"/>
        <v>62000</v>
      </c>
      <c r="F111" s="28">
        <f t="shared" ref="F111:F115" si="26">SUM(C111:E111)</f>
        <v>186000</v>
      </c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24"/>
      <c r="B112" s="6" t="s">
        <v>90</v>
      </c>
      <c r="C112" s="27">
        <f t="shared" ref="C112:E112" si="25">C103</f>
        <v>0</v>
      </c>
      <c r="D112" s="27">
        <f t="shared" si="25"/>
        <v>0</v>
      </c>
      <c r="E112" s="27">
        <f t="shared" si="25"/>
        <v>0</v>
      </c>
      <c r="F112" s="28">
        <f t="shared" si="26"/>
        <v>0</v>
      </c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24"/>
      <c r="B113" s="6" t="s">
        <v>91</v>
      </c>
      <c r="C113" s="27">
        <f t="shared" ref="C113:E113" si="27">C68</f>
        <v>8238.9</v>
      </c>
      <c r="D113" s="27">
        <f t="shared" si="27"/>
        <v>8238.9</v>
      </c>
      <c r="E113" s="27">
        <f t="shared" si="27"/>
        <v>8238.9</v>
      </c>
      <c r="F113" s="28">
        <f t="shared" si="26"/>
        <v>24716.7</v>
      </c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4"/>
      <c r="B114" s="6" t="s">
        <v>92</v>
      </c>
      <c r="C114" s="27">
        <f t="shared" ref="C114:E114" si="28">C17*0.1</f>
        <v>6200</v>
      </c>
      <c r="D114" s="27">
        <f t="shared" si="28"/>
        <v>6200</v>
      </c>
      <c r="E114" s="27">
        <f t="shared" si="28"/>
        <v>6200</v>
      </c>
      <c r="F114" s="28">
        <f t="shared" si="26"/>
        <v>18600</v>
      </c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4"/>
      <c r="B115" s="16" t="s">
        <v>93</v>
      </c>
      <c r="C115" s="17">
        <f t="shared" ref="C115:E115" si="29">C111+C112-C113-C114</f>
        <v>47561.1</v>
      </c>
      <c r="D115" s="17">
        <f t="shared" si="29"/>
        <v>47561.1</v>
      </c>
      <c r="E115" s="17">
        <f t="shared" si="29"/>
        <v>47561.1</v>
      </c>
      <c r="F115" s="28">
        <f t="shared" si="26"/>
        <v>142683.3</v>
      </c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24"/>
      <c r="B118" s="4" t="s">
        <v>94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24"/>
      <c r="B119" s="3" t="s">
        <v>95</v>
      </c>
      <c r="C119" s="28"/>
      <c r="D119" s="28"/>
      <c r="E119" s="28"/>
      <c r="F119" s="28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24"/>
      <c r="B120" s="11" t="s">
        <v>96</v>
      </c>
      <c r="C120" s="28"/>
      <c r="D120" s="28"/>
      <c r="E120" s="28"/>
      <c r="F120" s="28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24"/>
      <c r="B121" s="24"/>
      <c r="C121" s="28"/>
      <c r="D121" s="28"/>
      <c r="E121" s="28"/>
      <c r="F121" s="28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4"/>
      <c r="B122" s="6" t="s">
        <v>97</v>
      </c>
      <c r="C122" s="30" t="s">
        <v>98</v>
      </c>
      <c r="D122" s="30" t="s">
        <v>99</v>
      </c>
      <c r="E122" s="30" t="s">
        <v>100</v>
      </c>
      <c r="F122" s="30" t="s">
        <v>101</v>
      </c>
      <c r="G122" s="31" t="s">
        <v>102</v>
      </c>
      <c r="H122" s="31" t="s">
        <v>103</v>
      </c>
      <c r="I122" s="31" t="s">
        <v>104</v>
      </c>
      <c r="J122" s="31" t="s">
        <v>105</v>
      </c>
      <c r="K122" s="5" t="s">
        <v>106</v>
      </c>
      <c r="L122" s="5" t="s">
        <v>107</v>
      </c>
      <c r="M122" s="24"/>
      <c r="N122" s="24"/>
      <c r="O122" s="24"/>
      <c r="P122" s="24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4"/>
      <c r="B123" s="6" t="s">
        <v>108</v>
      </c>
      <c r="C123" s="32">
        <v>0.0</v>
      </c>
      <c r="D123" s="32">
        <v>0.0</v>
      </c>
      <c r="E123" s="32">
        <v>0.0</v>
      </c>
      <c r="F123" s="32">
        <v>0.0</v>
      </c>
      <c r="G123" s="33">
        <v>0.0</v>
      </c>
      <c r="H123" s="33">
        <v>0.0</v>
      </c>
      <c r="I123" s="33">
        <v>0.0</v>
      </c>
      <c r="J123" s="33">
        <v>0.0</v>
      </c>
      <c r="K123" s="27">
        <f t="shared" ref="K123:K125" si="30">SUM(C123:J123)</f>
        <v>0</v>
      </c>
      <c r="L123" s="17">
        <f t="shared" ref="L123:L125" si="31">K123*1080</f>
        <v>0</v>
      </c>
      <c r="M123" s="24"/>
      <c r="N123" s="24"/>
      <c r="O123" s="24"/>
      <c r="P123" s="24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4"/>
      <c r="B124" s="6" t="s">
        <v>109</v>
      </c>
      <c r="C124" s="33">
        <v>0.0</v>
      </c>
      <c r="D124" s="33">
        <v>0.0</v>
      </c>
      <c r="E124" s="33">
        <v>0.0</v>
      </c>
      <c r="F124" s="33">
        <v>0.0</v>
      </c>
      <c r="G124" s="33">
        <v>0.0</v>
      </c>
      <c r="H124" s="33">
        <v>0.0</v>
      </c>
      <c r="I124" s="33">
        <v>0.0</v>
      </c>
      <c r="J124" s="33">
        <v>0.0</v>
      </c>
      <c r="K124" s="34">
        <f t="shared" si="30"/>
        <v>0</v>
      </c>
      <c r="L124" s="17">
        <f t="shared" si="31"/>
        <v>0</v>
      </c>
      <c r="M124" s="24"/>
      <c r="N124" s="24"/>
      <c r="O124" s="24"/>
      <c r="P124" s="24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24"/>
      <c r="B125" s="6" t="s">
        <v>110</v>
      </c>
      <c r="C125" s="32">
        <v>0.0</v>
      </c>
      <c r="D125" s="32">
        <v>0.0</v>
      </c>
      <c r="E125" s="32">
        <v>0.0</v>
      </c>
      <c r="F125" s="32">
        <v>0.0</v>
      </c>
      <c r="G125" s="33">
        <v>0.0</v>
      </c>
      <c r="H125" s="33">
        <v>0.0</v>
      </c>
      <c r="I125" s="33">
        <v>0.0</v>
      </c>
      <c r="J125" s="33">
        <v>0.0</v>
      </c>
      <c r="K125" s="27">
        <f t="shared" si="30"/>
        <v>0</v>
      </c>
      <c r="L125" s="17">
        <f t="shared" si="31"/>
        <v>0</v>
      </c>
      <c r="M125" s="24"/>
      <c r="N125" s="24"/>
      <c r="O125" s="24"/>
      <c r="P125" s="24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24"/>
      <c r="B128" s="4" t="s">
        <v>111</v>
      </c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24"/>
      <c r="B129" s="11" t="s">
        <v>112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24"/>
      <c r="B130" s="3" t="s">
        <v>113</v>
      </c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24"/>
      <c r="B132" s="5" t="s">
        <v>3</v>
      </c>
      <c r="C132" s="5" t="s">
        <v>19</v>
      </c>
      <c r="D132" s="5" t="s">
        <v>20</v>
      </c>
      <c r="E132" s="5" t="s">
        <v>21</v>
      </c>
      <c r="F132" s="5" t="s">
        <v>41</v>
      </c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24"/>
      <c r="B133" s="24" t="s">
        <v>114</v>
      </c>
      <c r="C133" s="27">
        <f>L123</f>
        <v>0</v>
      </c>
      <c r="D133" s="27">
        <f>L124</f>
        <v>0</v>
      </c>
      <c r="E133" s="27">
        <f>L125</f>
        <v>0</v>
      </c>
      <c r="F133" s="27">
        <f t="shared" ref="F133:F137" si="33">SUM(C133:E133)</f>
        <v>0</v>
      </c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24"/>
      <c r="B134" s="24" t="s">
        <v>115</v>
      </c>
      <c r="C134" s="27">
        <f t="shared" ref="C134:E134" si="32">C104</f>
        <v>0</v>
      </c>
      <c r="D134" s="27">
        <f t="shared" si="32"/>
        <v>0</v>
      </c>
      <c r="E134" s="27">
        <f t="shared" si="32"/>
        <v>0</v>
      </c>
      <c r="F134" s="28">
        <f t="shared" si="33"/>
        <v>0</v>
      </c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24"/>
      <c r="B135" s="16" t="s">
        <v>116</v>
      </c>
      <c r="C135" s="20">
        <f t="shared" ref="C135:E135" si="34">MAX(0,C133-C134)</f>
        <v>0</v>
      </c>
      <c r="D135" s="20">
        <f t="shared" si="34"/>
        <v>0</v>
      </c>
      <c r="E135" s="20">
        <f t="shared" si="34"/>
        <v>0</v>
      </c>
      <c r="F135" s="20">
        <f t="shared" si="33"/>
        <v>0</v>
      </c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24"/>
      <c r="B136" s="16" t="s">
        <v>117</v>
      </c>
      <c r="C136" s="17">
        <f t="shared" ref="C136:E136" si="35">C135/12</f>
        <v>0</v>
      </c>
      <c r="D136" s="17">
        <f t="shared" si="35"/>
        <v>0</v>
      </c>
      <c r="E136" s="17">
        <f t="shared" si="35"/>
        <v>0</v>
      </c>
      <c r="F136" s="17">
        <f t="shared" si="33"/>
        <v>0</v>
      </c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4"/>
      <c r="B137" s="16" t="s">
        <v>118</v>
      </c>
      <c r="C137" s="17">
        <f t="shared" ref="C137:E137" si="36">62000+C136</f>
        <v>62000</v>
      </c>
      <c r="D137" s="17">
        <f t="shared" si="36"/>
        <v>62000</v>
      </c>
      <c r="E137" s="17">
        <f t="shared" si="36"/>
        <v>62000</v>
      </c>
      <c r="F137" s="28">
        <f t="shared" si="33"/>
        <v>186000</v>
      </c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24"/>
      <c r="B140" s="4" t="s">
        <v>119</v>
      </c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24"/>
      <c r="B141" s="3" t="s">
        <v>120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24"/>
      <c r="B142" s="3" t="s">
        <v>121</v>
      </c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24"/>
      <c r="B143" s="11" t="s">
        <v>122</v>
      </c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4"/>
      <c r="B144" s="3" t="s">
        <v>123</v>
      </c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4"/>
      <c r="B145" s="3" t="s">
        <v>124</v>
      </c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4"/>
      <c r="B147" s="35" t="s">
        <v>125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4"/>
      <c r="B148" s="3" t="s">
        <v>126</v>
      </c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4"/>
      <c r="B149" s="3" t="s">
        <v>127</v>
      </c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4"/>
      <c r="B150" s="3" t="s">
        <v>128</v>
      </c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0.14"/>
    <col customWidth="1" min="4" max="4" width="23.0"/>
  </cols>
  <sheetData>
    <row r="1">
      <c r="A1" s="36" t="s">
        <v>129</v>
      </c>
      <c r="B1" s="37" t="s">
        <v>130</v>
      </c>
      <c r="C1" s="38" t="s">
        <v>131</v>
      </c>
      <c r="D1" s="38" t="s">
        <v>132</v>
      </c>
      <c r="E1" s="39" t="s">
        <v>133</v>
      </c>
      <c r="F1" s="38" t="s">
        <v>134</v>
      </c>
      <c r="H1" s="40" t="s">
        <v>135</v>
      </c>
    </row>
    <row r="2">
      <c r="A2" s="41"/>
      <c r="B2" s="42"/>
      <c r="E2" s="43"/>
    </row>
    <row r="3">
      <c r="A3" s="41"/>
      <c r="B3" s="42"/>
      <c r="E3" s="43"/>
    </row>
    <row r="4">
      <c r="A4" s="41"/>
      <c r="B4" s="42"/>
      <c r="E4" s="43"/>
    </row>
    <row r="5">
      <c r="A5" s="41"/>
      <c r="B5" s="42"/>
      <c r="E5" s="43"/>
    </row>
    <row r="6">
      <c r="A6" s="41"/>
      <c r="B6" s="42"/>
      <c r="E6" s="43"/>
    </row>
    <row r="7">
      <c r="A7" s="41"/>
      <c r="B7" s="42"/>
      <c r="E7" s="43"/>
    </row>
    <row r="8">
      <c r="A8" s="41"/>
      <c r="B8" s="42"/>
      <c r="E8" s="43"/>
    </row>
    <row r="9">
      <c r="A9" s="41"/>
      <c r="B9" s="42"/>
      <c r="E9" s="43"/>
    </row>
    <row r="10">
      <c r="A10" s="41"/>
      <c r="B10" s="42"/>
      <c r="E10" s="43"/>
    </row>
    <row r="11">
      <c r="A11" s="41"/>
      <c r="B11" s="42"/>
      <c r="E11" s="43"/>
    </row>
    <row r="12">
      <c r="A12" s="41"/>
      <c r="B12" s="42"/>
      <c r="E12" s="43"/>
    </row>
    <row r="13">
      <c r="A13" s="41"/>
      <c r="B13" s="42"/>
      <c r="E13" s="43"/>
    </row>
    <row r="14">
      <c r="A14" s="41"/>
      <c r="B14" s="42"/>
      <c r="E14" s="43"/>
    </row>
    <row r="15">
      <c r="A15" s="41"/>
      <c r="B15" s="42"/>
      <c r="E15" s="43"/>
    </row>
    <row r="16">
      <c r="A16" s="41"/>
      <c r="B16" s="42"/>
      <c r="E16" s="43"/>
    </row>
    <row r="17">
      <c r="A17" s="41"/>
      <c r="B17" s="42"/>
      <c r="E17" s="43"/>
    </row>
    <row r="18">
      <c r="A18" s="41"/>
      <c r="B18" s="42"/>
      <c r="E18" s="43"/>
    </row>
    <row r="19">
      <c r="A19" s="41"/>
      <c r="B19" s="42"/>
      <c r="E19" s="43"/>
    </row>
    <row r="20">
      <c r="A20" s="41"/>
      <c r="B20" s="42"/>
      <c r="E20" s="43"/>
    </row>
    <row r="21">
      <c r="A21" s="41"/>
      <c r="B21" s="42"/>
      <c r="E21" s="43"/>
    </row>
    <row r="22">
      <c r="A22" s="41"/>
      <c r="B22" s="42"/>
      <c r="E22" s="43"/>
    </row>
    <row r="23">
      <c r="A23" s="41"/>
      <c r="B23" s="42"/>
      <c r="E23" s="43"/>
    </row>
    <row r="24">
      <c r="A24" s="41"/>
      <c r="B24" s="42"/>
      <c r="E24" s="43"/>
    </row>
    <row r="25">
      <c r="A25" s="41"/>
      <c r="B25" s="42"/>
      <c r="E25" s="43"/>
    </row>
    <row r="26">
      <c r="A26" s="41"/>
      <c r="B26" s="42"/>
      <c r="E26" s="43"/>
    </row>
    <row r="27">
      <c r="A27" s="41"/>
      <c r="B27" s="42"/>
      <c r="E27" s="43"/>
    </row>
    <row r="28">
      <c r="A28" s="41"/>
      <c r="B28" s="42"/>
      <c r="E28" s="43"/>
    </row>
    <row r="29">
      <c r="A29" s="41"/>
      <c r="B29" s="42"/>
      <c r="E29" s="43"/>
    </row>
    <row r="30">
      <c r="A30" s="41"/>
      <c r="B30" s="42"/>
      <c r="E30" s="43"/>
    </row>
    <row r="31">
      <c r="A31" s="41"/>
      <c r="B31" s="42"/>
      <c r="E31" s="43"/>
    </row>
    <row r="32">
      <c r="A32" s="41"/>
      <c r="B32" s="42"/>
      <c r="E32" s="43"/>
    </row>
    <row r="33">
      <c r="A33" s="41"/>
      <c r="B33" s="42"/>
      <c r="E33" s="43"/>
    </row>
    <row r="34">
      <c r="A34" s="41"/>
      <c r="B34" s="42"/>
      <c r="E34" s="43"/>
    </row>
    <row r="35">
      <c r="A35" s="41"/>
      <c r="B35" s="42"/>
      <c r="E35" s="43"/>
    </row>
    <row r="36">
      <c r="A36" s="41"/>
      <c r="B36" s="42"/>
      <c r="E36" s="43"/>
    </row>
    <row r="37">
      <c r="A37" s="41"/>
      <c r="B37" s="42"/>
      <c r="E37" s="43"/>
    </row>
    <row r="38">
      <c r="A38" s="41"/>
      <c r="B38" s="42"/>
      <c r="E38" s="43"/>
    </row>
    <row r="39">
      <c r="A39" s="41"/>
      <c r="B39" s="42"/>
      <c r="E39" s="43"/>
    </row>
    <row r="40">
      <c r="A40" s="41"/>
      <c r="B40" s="42"/>
      <c r="E40" s="43"/>
    </row>
    <row r="41">
      <c r="A41" s="41"/>
      <c r="B41" s="42"/>
      <c r="E41" s="43"/>
    </row>
    <row r="42">
      <c r="A42" s="41"/>
      <c r="B42" s="42"/>
      <c r="E42" s="43"/>
    </row>
    <row r="43">
      <c r="A43" s="41"/>
      <c r="B43" s="42"/>
      <c r="E43" s="43"/>
    </row>
    <row r="44">
      <c r="A44" s="41"/>
      <c r="B44" s="42"/>
      <c r="E44" s="43"/>
    </row>
    <row r="45">
      <c r="A45" s="41"/>
      <c r="B45" s="42"/>
      <c r="E45" s="43"/>
    </row>
    <row r="46">
      <c r="A46" s="41"/>
      <c r="B46" s="42"/>
      <c r="E46" s="43"/>
    </row>
    <row r="47">
      <c r="A47" s="41"/>
      <c r="B47" s="42"/>
      <c r="E47" s="43"/>
    </row>
    <row r="48">
      <c r="A48" s="41"/>
      <c r="B48" s="42"/>
      <c r="E48" s="43"/>
    </row>
    <row r="49">
      <c r="A49" s="41"/>
      <c r="B49" s="42"/>
      <c r="E49" s="43"/>
    </row>
    <row r="50">
      <c r="A50" s="41"/>
      <c r="B50" s="42"/>
      <c r="E50" s="43"/>
    </row>
    <row r="51">
      <c r="A51" s="41"/>
      <c r="B51" s="42"/>
      <c r="E51" s="43"/>
    </row>
    <row r="52">
      <c r="A52" s="41"/>
      <c r="B52" s="42"/>
      <c r="E52" s="43"/>
    </row>
    <row r="53">
      <c r="A53" s="41"/>
      <c r="B53" s="42"/>
      <c r="E53" s="43"/>
    </row>
    <row r="54">
      <c r="A54" s="41"/>
      <c r="B54" s="42"/>
      <c r="E54" s="43"/>
    </row>
    <row r="55">
      <c r="A55" s="41"/>
      <c r="B55" s="42"/>
      <c r="E55" s="43"/>
    </row>
    <row r="56">
      <c r="A56" s="41"/>
      <c r="B56" s="42"/>
      <c r="E56" s="43"/>
    </row>
    <row r="57">
      <c r="A57" s="41"/>
      <c r="B57" s="42"/>
      <c r="E57" s="43"/>
    </row>
    <row r="58">
      <c r="A58" s="41"/>
      <c r="B58" s="42"/>
      <c r="E58" s="43"/>
    </row>
    <row r="59">
      <c r="A59" s="41"/>
      <c r="B59" s="42"/>
      <c r="E59" s="43"/>
    </row>
    <row r="60">
      <c r="A60" s="41"/>
      <c r="B60" s="42"/>
      <c r="E60" s="43"/>
    </row>
    <row r="61">
      <c r="A61" s="41"/>
      <c r="B61" s="42"/>
      <c r="E61" s="43"/>
    </row>
    <row r="62">
      <c r="A62" s="41"/>
      <c r="B62" s="42"/>
      <c r="E62" s="43"/>
    </row>
    <row r="63">
      <c r="A63" s="41"/>
      <c r="B63" s="42"/>
      <c r="E63" s="43"/>
    </row>
    <row r="64">
      <c r="A64" s="41"/>
      <c r="B64" s="42"/>
      <c r="E64" s="43"/>
    </row>
    <row r="65">
      <c r="A65" s="41"/>
      <c r="B65" s="42"/>
      <c r="E65" s="43"/>
    </row>
    <row r="66">
      <c r="A66" s="41"/>
      <c r="B66" s="42"/>
      <c r="E66" s="43"/>
    </row>
    <row r="67">
      <c r="A67" s="41"/>
      <c r="B67" s="42"/>
      <c r="E67" s="43"/>
    </row>
    <row r="68">
      <c r="A68" s="41"/>
      <c r="B68" s="42"/>
      <c r="E68" s="43"/>
    </row>
    <row r="69">
      <c r="A69" s="41"/>
      <c r="B69" s="42"/>
      <c r="E69" s="43"/>
    </row>
    <row r="70">
      <c r="A70" s="41"/>
      <c r="B70" s="42"/>
      <c r="E70" s="43"/>
    </row>
    <row r="71">
      <c r="A71" s="41"/>
      <c r="B71" s="42"/>
      <c r="E71" s="43"/>
    </row>
    <row r="72">
      <c r="A72" s="41"/>
      <c r="B72" s="42"/>
      <c r="E72" s="43"/>
    </row>
    <row r="73">
      <c r="A73" s="41"/>
      <c r="B73" s="42"/>
      <c r="E73" s="43"/>
    </row>
    <row r="74">
      <c r="A74" s="41"/>
      <c r="B74" s="42"/>
      <c r="E74" s="43"/>
    </row>
    <row r="75">
      <c r="A75" s="41"/>
      <c r="B75" s="42"/>
      <c r="E75" s="43"/>
    </row>
    <row r="76">
      <c r="A76" s="41"/>
      <c r="B76" s="42"/>
      <c r="E76" s="43"/>
    </row>
    <row r="77">
      <c r="A77" s="41"/>
      <c r="B77" s="42"/>
      <c r="E77" s="43"/>
    </row>
    <row r="78">
      <c r="A78" s="41"/>
      <c r="B78" s="42"/>
      <c r="E78" s="43"/>
    </row>
    <row r="79">
      <c r="A79" s="41"/>
      <c r="B79" s="42"/>
      <c r="E79" s="43"/>
    </row>
    <row r="80">
      <c r="A80" s="41"/>
      <c r="B80" s="42"/>
      <c r="E80" s="43"/>
    </row>
    <row r="81">
      <c r="A81" s="41"/>
      <c r="B81" s="42"/>
      <c r="E81" s="43"/>
    </row>
    <row r="82">
      <c r="A82" s="41"/>
      <c r="B82" s="42"/>
      <c r="E82" s="43"/>
    </row>
    <row r="83">
      <c r="A83" s="41"/>
      <c r="B83" s="42"/>
      <c r="E83" s="43"/>
    </row>
    <row r="84">
      <c r="A84" s="41"/>
      <c r="B84" s="42"/>
      <c r="E84" s="43"/>
    </row>
    <row r="85">
      <c r="A85" s="41"/>
      <c r="B85" s="42"/>
      <c r="E85" s="43"/>
    </row>
    <row r="86">
      <c r="A86" s="41"/>
      <c r="B86" s="42"/>
      <c r="E86" s="43"/>
    </row>
    <row r="87">
      <c r="A87" s="41"/>
      <c r="B87" s="42"/>
      <c r="E87" s="43"/>
    </row>
    <row r="88">
      <c r="A88" s="41"/>
      <c r="B88" s="42"/>
      <c r="E88" s="43"/>
    </row>
    <row r="89">
      <c r="A89" s="41"/>
      <c r="B89" s="42"/>
      <c r="E89" s="43"/>
    </row>
    <row r="90">
      <c r="A90" s="41"/>
      <c r="B90" s="42"/>
      <c r="E90" s="43"/>
    </row>
    <row r="91">
      <c r="A91" s="41"/>
      <c r="B91" s="42"/>
      <c r="E91" s="43"/>
    </row>
    <row r="92">
      <c r="A92" s="41"/>
      <c r="B92" s="42"/>
      <c r="E92" s="43"/>
    </row>
    <row r="93">
      <c r="A93" s="41"/>
      <c r="B93" s="42"/>
      <c r="E93" s="43"/>
    </row>
    <row r="94">
      <c r="A94" s="41"/>
      <c r="B94" s="42"/>
      <c r="E94" s="43"/>
    </row>
    <row r="95">
      <c r="A95" s="41"/>
      <c r="B95" s="42"/>
      <c r="E95" s="43"/>
    </row>
    <row r="96">
      <c r="A96" s="41"/>
      <c r="B96" s="42"/>
      <c r="E96" s="43"/>
    </row>
    <row r="97">
      <c r="A97" s="41"/>
      <c r="B97" s="42"/>
      <c r="E97" s="43"/>
    </row>
    <row r="98">
      <c r="A98" s="41"/>
      <c r="B98" s="42"/>
      <c r="E98" s="43"/>
    </row>
    <row r="99">
      <c r="A99" s="41"/>
      <c r="B99" s="42"/>
      <c r="E99" s="43"/>
    </row>
    <row r="100">
      <c r="A100" s="41"/>
      <c r="B100" s="42"/>
      <c r="E100" s="43"/>
    </row>
    <row r="101">
      <c r="A101" s="41"/>
      <c r="B101" s="42"/>
      <c r="E101" s="43"/>
    </row>
    <row r="102">
      <c r="A102" s="41"/>
      <c r="B102" s="42"/>
      <c r="E102" s="43"/>
    </row>
    <row r="103">
      <c r="A103" s="41"/>
      <c r="B103" s="42"/>
      <c r="E103" s="43"/>
    </row>
    <row r="104">
      <c r="A104" s="41"/>
      <c r="B104" s="42"/>
      <c r="E104" s="43"/>
    </row>
    <row r="105">
      <c r="A105" s="41"/>
      <c r="B105" s="42"/>
      <c r="E105" s="43"/>
    </row>
    <row r="106">
      <c r="A106" s="41"/>
      <c r="B106" s="42"/>
      <c r="E106" s="43"/>
    </row>
    <row r="107">
      <c r="A107" s="41"/>
      <c r="B107" s="42"/>
      <c r="E107" s="43"/>
    </row>
    <row r="108">
      <c r="A108" s="41"/>
      <c r="B108" s="42"/>
      <c r="E108" s="43"/>
    </row>
    <row r="109">
      <c r="A109" s="41"/>
      <c r="B109" s="42"/>
      <c r="E109" s="43"/>
    </row>
    <row r="110">
      <c r="A110" s="41"/>
      <c r="B110" s="42"/>
      <c r="E110" s="43"/>
    </row>
    <row r="111">
      <c r="A111" s="41"/>
      <c r="B111" s="42"/>
      <c r="E111" s="43"/>
    </row>
    <row r="112">
      <c r="A112" s="41"/>
      <c r="B112" s="42"/>
      <c r="E112" s="43"/>
    </row>
    <row r="113">
      <c r="A113" s="41"/>
      <c r="B113" s="42"/>
      <c r="E113" s="43"/>
    </row>
    <row r="114">
      <c r="A114" s="41"/>
      <c r="B114" s="42"/>
      <c r="E114" s="43"/>
    </row>
    <row r="115">
      <c r="A115" s="41"/>
      <c r="B115" s="42"/>
      <c r="E115" s="43"/>
    </row>
    <row r="116">
      <c r="A116" s="41"/>
      <c r="B116" s="42"/>
      <c r="E116" s="43"/>
    </row>
    <row r="117">
      <c r="A117" s="41"/>
      <c r="B117" s="42"/>
      <c r="E117" s="43"/>
    </row>
    <row r="118">
      <c r="A118" s="41"/>
      <c r="B118" s="42"/>
      <c r="E118" s="43"/>
    </row>
    <row r="119">
      <c r="A119" s="41"/>
      <c r="B119" s="42"/>
      <c r="E119" s="43"/>
    </row>
    <row r="120">
      <c r="A120" s="41"/>
      <c r="B120" s="42"/>
      <c r="E120" s="43"/>
    </row>
    <row r="121">
      <c r="A121" s="41"/>
      <c r="B121" s="42"/>
      <c r="E121" s="43"/>
    </row>
    <row r="122">
      <c r="A122" s="41"/>
      <c r="B122" s="42"/>
      <c r="E122" s="43"/>
    </row>
    <row r="123">
      <c r="A123" s="41"/>
      <c r="B123" s="42"/>
      <c r="E123" s="43"/>
    </row>
    <row r="124">
      <c r="A124" s="41"/>
      <c r="B124" s="42"/>
      <c r="E124" s="43"/>
    </row>
    <row r="125">
      <c r="A125" s="41"/>
      <c r="B125" s="42"/>
      <c r="E125" s="43"/>
    </row>
    <row r="126">
      <c r="A126" s="41"/>
      <c r="B126" s="42"/>
      <c r="E126" s="43"/>
    </row>
    <row r="127">
      <c r="A127" s="41"/>
      <c r="B127" s="42"/>
      <c r="E127" s="43"/>
    </row>
    <row r="128">
      <c r="A128" s="41"/>
      <c r="B128" s="42"/>
      <c r="E128" s="43"/>
    </row>
    <row r="129">
      <c r="A129" s="41"/>
      <c r="B129" s="42"/>
      <c r="E129" s="43"/>
    </row>
    <row r="130">
      <c r="A130" s="41"/>
      <c r="B130" s="42"/>
      <c r="E130" s="43"/>
    </row>
    <row r="131">
      <c r="A131" s="41"/>
      <c r="B131" s="42"/>
      <c r="E131" s="43"/>
    </row>
    <row r="132">
      <c r="A132" s="41"/>
      <c r="B132" s="42"/>
      <c r="E132" s="43"/>
    </row>
    <row r="133">
      <c r="A133" s="41"/>
      <c r="B133" s="42"/>
      <c r="E133" s="43"/>
    </row>
    <row r="134">
      <c r="A134" s="41"/>
      <c r="B134" s="42"/>
      <c r="E134" s="43"/>
    </row>
    <row r="135">
      <c r="A135" s="41"/>
      <c r="B135" s="42"/>
      <c r="E135" s="43"/>
    </row>
    <row r="136">
      <c r="A136" s="41"/>
      <c r="B136" s="42"/>
      <c r="E136" s="43"/>
    </row>
    <row r="137">
      <c r="A137" s="41"/>
      <c r="B137" s="42"/>
      <c r="E137" s="43"/>
    </row>
    <row r="138">
      <c r="A138" s="41"/>
      <c r="B138" s="42"/>
      <c r="E138" s="43"/>
    </row>
    <row r="139">
      <c r="A139" s="41"/>
      <c r="B139" s="42"/>
      <c r="E139" s="43"/>
    </row>
    <row r="140">
      <c r="A140" s="41"/>
      <c r="B140" s="42"/>
      <c r="E140" s="43"/>
    </row>
    <row r="141">
      <c r="A141" s="41"/>
      <c r="B141" s="42"/>
      <c r="E141" s="43"/>
    </row>
    <row r="142">
      <c r="A142" s="41"/>
      <c r="B142" s="42"/>
      <c r="E142" s="43"/>
    </row>
    <row r="143">
      <c r="A143" s="41"/>
      <c r="B143" s="42"/>
      <c r="E143" s="43"/>
    </row>
    <row r="144">
      <c r="A144" s="41"/>
      <c r="B144" s="42"/>
      <c r="E144" s="43"/>
    </row>
    <row r="145">
      <c r="A145" s="41"/>
      <c r="B145" s="42"/>
      <c r="E145" s="43"/>
    </row>
    <row r="146">
      <c r="A146" s="41"/>
      <c r="B146" s="42"/>
      <c r="E146" s="43"/>
    </row>
    <row r="147">
      <c r="A147" s="41"/>
      <c r="B147" s="42"/>
      <c r="E147" s="43"/>
    </row>
    <row r="148">
      <c r="A148" s="41"/>
      <c r="B148" s="42"/>
      <c r="E148" s="43"/>
    </row>
    <row r="149">
      <c r="A149" s="41"/>
      <c r="B149" s="42"/>
      <c r="E149" s="43"/>
    </row>
    <row r="150">
      <c r="A150" s="41"/>
      <c r="B150" s="42"/>
      <c r="E150" s="43"/>
    </row>
    <row r="151">
      <c r="A151" s="41"/>
      <c r="B151" s="42"/>
      <c r="E151" s="43"/>
    </row>
    <row r="152">
      <c r="A152" s="41"/>
      <c r="B152" s="42"/>
      <c r="E152" s="43"/>
    </row>
    <row r="153">
      <c r="A153" s="41"/>
      <c r="B153" s="42"/>
      <c r="E153" s="43"/>
    </row>
    <row r="154">
      <c r="A154" s="41"/>
      <c r="B154" s="42"/>
      <c r="E154" s="43"/>
    </row>
    <row r="155">
      <c r="A155" s="41"/>
      <c r="B155" s="42"/>
      <c r="E155" s="43"/>
    </row>
    <row r="156">
      <c r="A156" s="41"/>
      <c r="B156" s="42"/>
      <c r="E156" s="43"/>
    </row>
    <row r="157">
      <c r="A157" s="41"/>
      <c r="B157" s="42"/>
      <c r="E157" s="43"/>
    </row>
    <row r="158">
      <c r="A158" s="41"/>
      <c r="B158" s="42"/>
      <c r="E158" s="43"/>
    </row>
    <row r="159">
      <c r="A159" s="41"/>
      <c r="B159" s="42"/>
      <c r="E159" s="43"/>
    </row>
    <row r="160">
      <c r="A160" s="41"/>
      <c r="B160" s="42"/>
      <c r="E160" s="43"/>
    </row>
    <row r="161">
      <c r="A161" s="41"/>
      <c r="B161" s="42"/>
      <c r="E161" s="43"/>
    </row>
    <row r="162">
      <c r="A162" s="41"/>
      <c r="B162" s="42"/>
      <c r="E162" s="43"/>
    </row>
    <row r="163">
      <c r="A163" s="41"/>
      <c r="B163" s="42"/>
      <c r="E163" s="43"/>
    </row>
    <row r="164">
      <c r="A164" s="41"/>
      <c r="B164" s="42"/>
      <c r="E164" s="43"/>
    </row>
    <row r="165">
      <c r="A165" s="41"/>
      <c r="B165" s="42"/>
      <c r="E165" s="43"/>
    </row>
    <row r="166">
      <c r="A166" s="41"/>
      <c r="B166" s="42"/>
      <c r="E166" s="43"/>
    </row>
    <row r="167">
      <c r="A167" s="41"/>
      <c r="B167" s="42"/>
      <c r="E167" s="43"/>
    </row>
    <row r="168">
      <c r="A168" s="41"/>
      <c r="B168" s="42"/>
      <c r="E168" s="43"/>
    </row>
    <row r="169">
      <c r="A169" s="41"/>
      <c r="B169" s="42"/>
      <c r="E169" s="43"/>
    </row>
    <row r="170">
      <c r="A170" s="41"/>
      <c r="B170" s="42"/>
      <c r="E170" s="43"/>
    </row>
    <row r="171">
      <c r="A171" s="41"/>
      <c r="B171" s="42"/>
      <c r="E171" s="43"/>
    </row>
    <row r="172">
      <c r="A172" s="41"/>
      <c r="B172" s="42"/>
      <c r="E172" s="43"/>
    </row>
    <row r="173">
      <c r="A173" s="41"/>
      <c r="B173" s="42"/>
      <c r="E173" s="43"/>
    </row>
    <row r="174">
      <c r="A174" s="41"/>
      <c r="B174" s="42"/>
      <c r="E174" s="43"/>
    </row>
    <row r="175">
      <c r="A175" s="41"/>
      <c r="B175" s="42"/>
      <c r="E175" s="43"/>
    </row>
    <row r="176">
      <c r="A176" s="41"/>
      <c r="B176" s="42"/>
      <c r="E176" s="43"/>
    </row>
    <row r="177">
      <c r="A177" s="41"/>
      <c r="B177" s="42"/>
      <c r="E177" s="43"/>
    </row>
    <row r="178">
      <c r="A178" s="41"/>
      <c r="B178" s="42"/>
      <c r="E178" s="43"/>
    </row>
    <row r="179">
      <c r="A179" s="41"/>
      <c r="B179" s="42"/>
      <c r="E179" s="43"/>
    </row>
    <row r="180">
      <c r="A180" s="41"/>
      <c r="B180" s="42"/>
      <c r="E180" s="43"/>
    </row>
    <row r="181">
      <c r="A181" s="41"/>
      <c r="B181" s="42"/>
      <c r="E181" s="43"/>
    </row>
    <row r="182">
      <c r="A182" s="41"/>
      <c r="B182" s="42"/>
      <c r="E182" s="43"/>
    </row>
    <row r="183">
      <c r="A183" s="41"/>
      <c r="B183" s="42"/>
      <c r="E183" s="43"/>
    </row>
    <row r="184">
      <c r="A184" s="41"/>
      <c r="B184" s="42"/>
      <c r="E184" s="43"/>
    </row>
    <row r="185">
      <c r="A185" s="41"/>
      <c r="B185" s="42"/>
      <c r="E185" s="43"/>
    </row>
    <row r="186">
      <c r="A186" s="41"/>
      <c r="B186" s="42"/>
      <c r="E186" s="43"/>
    </row>
    <row r="187">
      <c r="A187" s="41"/>
      <c r="B187" s="42"/>
      <c r="E187" s="43"/>
    </row>
    <row r="188">
      <c r="A188" s="41"/>
      <c r="B188" s="42"/>
      <c r="E188" s="43"/>
    </row>
    <row r="189">
      <c r="A189" s="41"/>
      <c r="B189" s="42"/>
      <c r="E189" s="43"/>
    </row>
    <row r="190">
      <c r="A190" s="41"/>
      <c r="B190" s="42"/>
      <c r="E190" s="43"/>
    </row>
    <row r="191">
      <c r="A191" s="41"/>
      <c r="B191" s="42"/>
      <c r="E191" s="43"/>
    </row>
    <row r="192">
      <c r="A192" s="41"/>
      <c r="B192" s="42"/>
      <c r="E192" s="43"/>
    </row>
    <row r="193">
      <c r="A193" s="41"/>
      <c r="B193" s="42"/>
      <c r="E193" s="43"/>
    </row>
    <row r="194">
      <c r="A194" s="41"/>
      <c r="B194" s="42"/>
      <c r="E194" s="43"/>
    </row>
    <row r="195">
      <c r="A195" s="41"/>
      <c r="B195" s="42"/>
      <c r="E195" s="43"/>
    </row>
    <row r="196">
      <c r="A196" s="41"/>
      <c r="B196" s="42"/>
      <c r="E196" s="43"/>
    </row>
    <row r="197">
      <c r="A197" s="41"/>
      <c r="B197" s="42"/>
      <c r="E197" s="43"/>
    </row>
    <row r="198">
      <c r="A198" s="41"/>
      <c r="B198" s="42"/>
      <c r="E198" s="43"/>
    </row>
    <row r="199">
      <c r="A199" s="41"/>
      <c r="B199" s="42"/>
      <c r="E199" s="43"/>
    </row>
    <row r="200">
      <c r="A200" s="41"/>
      <c r="B200" s="42"/>
      <c r="E200" s="43"/>
    </row>
    <row r="201">
      <c r="A201" s="41"/>
      <c r="B201" s="42"/>
      <c r="E201" s="43"/>
    </row>
    <row r="202">
      <c r="A202" s="41"/>
      <c r="B202" s="42"/>
      <c r="E202" s="43"/>
    </row>
    <row r="203">
      <c r="A203" s="41"/>
      <c r="B203" s="42"/>
      <c r="E203" s="43"/>
    </row>
    <row r="204">
      <c r="A204" s="41"/>
      <c r="B204" s="42"/>
      <c r="E204" s="43"/>
    </row>
    <row r="205">
      <c r="A205" s="41"/>
      <c r="B205" s="42"/>
      <c r="E205" s="43"/>
    </row>
    <row r="206">
      <c r="A206" s="41"/>
      <c r="B206" s="42"/>
      <c r="E206" s="43"/>
    </row>
    <row r="207">
      <c r="A207" s="41"/>
      <c r="B207" s="42"/>
      <c r="E207" s="43"/>
    </row>
    <row r="208">
      <c r="A208" s="41"/>
      <c r="B208" s="42"/>
      <c r="E208" s="43"/>
    </row>
    <row r="209">
      <c r="A209" s="41"/>
      <c r="B209" s="42"/>
      <c r="E209" s="43"/>
    </row>
    <row r="210">
      <c r="A210" s="41"/>
      <c r="B210" s="42"/>
      <c r="E210" s="43"/>
    </row>
    <row r="211">
      <c r="A211" s="41"/>
      <c r="B211" s="42"/>
      <c r="E211" s="43"/>
    </row>
    <row r="212">
      <c r="A212" s="41"/>
      <c r="B212" s="42"/>
      <c r="E212" s="43"/>
    </row>
    <row r="213">
      <c r="A213" s="41"/>
      <c r="B213" s="42"/>
      <c r="E213" s="43"/>
    </row>
    <row r="214">
      <c r="A214" s="41"/>
      <c r="B214" s="42"/>
      <c r="E214" s="43"/>
    </row>
    <row r="215">
      <c r="A215" s="41"/>
      <c r="B215" s="42"/>
      <c r="E215" s="43"/>
    </row>
    <row r="216">
      <c r="A216" s="41"/>
      <c r="B216" s="42"/>
      <c r="E216" s="43"/>
    </row>
    <row r="217">
      <c r="A217" s="41"/>
      <c r="B217" s="42"/>
      <c r="E217" s="43"/>
    </row>
    <row r="218">
      <c r="A218" s="41"/>
      <c r="B218" s="42"/>
      <c r="E218" s="43"/>
    </row>
    <row r="219">
      <c r="A219" s="41"/>
      <c r="B219" s="42"/>
      <c r="E219" s="43"/>
    </row>
    <row r="220">
      <c r="A220" s="41"/>
      <c r="B220" s="42"/>
      <c r="E220" s="43"/>
    </row>
    <row r="221">
      <c r="A221" s="41"/>
      <c r="B221" s="42"/>
      <c r="E221" s="43"/>
    </row>
    <row r="222">
      <c r="A222" s="41"/>
      <c r="B222" s="42"/>
      <c r="E222" s="43"/>
    </row>
    <row r="223">
      <c r="A223" s="41"/>
      <c r="B223" s="42"/>
      <c r="E223" s="43"/>
    </row>
    <row r="224">
      <c r="A224" s="41"/>
      <c r="B224" s="42"/>
      <c r="E224" s="43"/>
    </row>
    <row r="225">
      <c r="A225" s="41"/>
      <c r="B225" s="42"/>
      <c r="E225" s="43"/>
    </row>
    <row r="226">
      <c r="A226" s="41"/>
      <c r="B226" s="42"/>
      <c r="E226" s="43"/>
    </row>
    <row r="227">
      <c r="A227" s="41"/>
      <c r="B227" s="42"/>
      <c r="E227" s="43"/>
    </row>
    <row r="228">
      <c r="A228" s="41"/>
      <c r="B228" s="42"/>
      <c r="E228" s="43"/>
    </row>
    <row r="229">
      <c r="A229" s="41"/>
      <c r="B229" s="42"/>
      <c r="E229" s="43"/>
    </row>
    <row r="230">
      <c r="A230" s="41"/>
      <c r="B230" s="42"/>
      <c r="E230" s="43"/>
    </row>
    <row r="231">
      <c r="A231" s="41"/>
      <c r="B231" s="42"/>
      <c r="E231" s="43"/>
    </row>
    <row r="232">
      <c r="A232" s="41"/>
      <c r="B232" s="42"/>
      <c r="E232" s="43"/>
    </row>
    <row r="233">
      <c r="A233" s="41"/>
      <c r="B233" s="42"/>
      <c r="E233" s="43"/>
    </row>
    <row r="234">
      <c r="A234" s="41"/>
      <c r="B234" s="42"/>
      <c r="E234" s="43"/>
    </row>
    <row r="235">
      <c r="A235" s="41"/>
      <c r="B235" s="42"/>
      <c r="E235" s="43"/>
    </row>
    <row r="236">
      <c r="A236" s="41"/>
      <c r="B236" s="42"/>
      <c r="E236" s="43"/>
    </row>
    <row r="237">
      <c r="A237" s="41"/>
      <c r="B237" s="42"/>
      <c r="E237" s="43"/>
    </row>
    <row r="238">
      <c r="A238" s="41"/>
      <c r="B238" s="42"/>
      <c r="E238" s="43"/>
    </row>
    <row r="239">
      <c r="A239" s="41"/>
      <c r="B239" s="42"/>
      <c r="E239" s="43"/>
    </row>
    <row r="240">
      <c r="A240" s="41"/>
      <c r="B240" s="42"/>
      <c r="E240" s="43"/>
    </row>
    <row r="241">
      <c r="A241" s="41"/>
      <c r="B241" s="42"/>
      <c r="E241" s="43"/>
    </row>
    <row r="242">
      <c r="A242" s="41"/>
      <c r="B242" s="42"/>
      <c r="E242" s="43"/>
    </row>
    <row r="243">
      <c r="A243" s="41"/>
      <c r="B243" s="42"/>
      <c r="E243" s="43"/>
    </row>
    <row r="244">
      <c r="A244" s="41"/>
      <c r="B244" s="42"/>
      <c r="E244" s="43"/>
    </row>
    <row r="245">
      <c r="A245" s="41"/>
      <c r="B245" s="42"/>
      <c r="E245" s="43"/>
    </row>
    <row r="246">
      <c r="A246" s="41"/>
      <c r="B246" s="42"/>
      <c r="E246" s="43"/>
    </row>
    <row r="247">
      <c r="A247" s="41"/>
      <c r="B247" s="42"/>
      <c r="E247" s="43"/>
    </row>
    <row r="248">
      <c r="A248" s="41"/>
      <c r="B248" s="42"/>
      <c r="E248" s="43"/>
    </row>
    <row r="249">
      <c r="A249" s="41"/>
      <c r="B249" s="42"/>
      <c r="E249" s="43"/>
    </row>
    <row r="250">
      <c r="A250" s="41"/>
      <c r="B250" s="42"/>
      <c r="E250" s="43"/>
    </row>
    <row r="251">
      <c r="A251" s="41"/>
      <c r="B251" s="42"/>
      <c r="E251" s="43"/>
    </row>
    <row r="252">
      <c r="A252" s="41"/>
      <c r="B252" s="42"/>
      <c r="E252" s="43"/>
    </row>
    <row r="253">
      <c r="A253" s="41"/>
      <c r="B253" s="42"/>
      <c r="E253" s="43"/>
    </row>
    <row r="254">
      <c r="A254" s="41"/>
      <c r="B254" s="42"/>
      <c r="E254" s="43"/>
    </row>
    <row r="255">
      <c r="A255" s="41"/>
      <c r="B255" s="42"/>
      <c r="E255" s="43"/>
    </row>
    <row r="256">
      <c r="A256" s="41"/>
      <c r="B256" s="42"/>
      <c r="E256" s="43"/>
    </row>
    <row r="257">
      <c r="A257" s="41"/>
      <c r="B257" s="42"/>
      <c r="E257" s="43"/>
    </row>
    <row r="258">
      <c r="A258" s="41"/>
      <c r="B258" s="42"/>
      <c r="E258" s="43"/>
    </row>
    <row r="259">
      <c r="A259" s="41"/>
      <c r="B259" s="42"/>
      <c r="E259" s="43"/>
    </row>
    <row r="260">
      <c r="A260" s="41"/>
      <c r="B260" s="42"/>
      <c r="E260" s="43"/>
    </row>
    <row r="261">
      <c r="A261" s="41"/>
      <c r="B261" s="42"/>
      <c r="E261" s="43"/>
    </row>
    <row r="262">
      <c r="A262" s="41"/>
      <c r="B262" s="42"/>
      <c r="E262" s="43"/>
    </row>
    <row r="263">
      <c r="A263" s="41"/>
      <c r="B263" s="42"/>
      <c r="E263" s="43"/>
    </row>
    <row r="264">
      <c r="A264" s="41"/>
      <c r="B264" s="42"/>
      <c r="E264" s="43"/>
    </row>
    <row r="265">
      <c r="A265" s="41"/>
      <c r="B265" s="42"/>
      <c r="E265" s="43"/>
    </row>
    <row r="266">
      <c r="A266" s="41"/>
      <c r="B266" s="42"/>
      <c r="E266" s="43"/>
    </row>
    <row r="267">
      <c r="A267" s="41"/>
      <c r="B267" s="42"/>
      <c r="E267" s="43"/>
    </row>
    <row r="268">
      <c r="A268" s="41"/>
      <c r="B268" s="42"/>
      <c r="E268" s="43"/>
    </row>
    <row r="269">
      <c r="A269" s="41"/>
      <c r="B269" s="42"/>
      <c r="E269" s="43"/>
    </row>
    <row r="270">
      <c r="A270" s="41"/>
      <c r="B270" s="42"/>
      <c r="E270" s="43"/>
    </row>
    <row r="271">
      <c r="A271" s="41"/>
      <c r="B271" s="42"/>
      <c r="E271" s="43"/>
    </row>
    <row r="272">
      <c r="A272" s="41"/>
      <c r="B272" s="42"/>
      <c r="E272" s="43"/>
    </row>
    <row r="273">
      <c r="A273" s="41"/>
      <c r="B273" s="42"/>
      <c r="E273" s="43"/>
    </row>
    <row r="274">
      <c r="A274" s="41"/>
      <c r="B274" s="42"/>
      <c r="E274" s="43"/>
    </row>
    <row r="275">
      <c r="A275" s="41"/>
      <c r="B275" s="42"/>
      <c r="E275" s="43"/>
    </row>
    <row r="276">
      <c r="A276" s="41"/>
      <c r="B276" s="42"/>
      <c r="E276" s="43"/>
    </row>
    <row r="277">
      <c r="A277" s="41"/>
      <c r="B277" s="42"/>
      <c r="E277" s="43"/>
    </row>
    <row r="278">
      <c r="A278" s="41"/>
      <c r="B278" s="42"/>
      <c r="E278" s="43"/>
    </row>
    <row r="279">
      <c r="A279" s="41"/>
      <c r="B279" s="42"/>
      <c r="E279" s="43"/>
    </row>
    <row r="280">
      <c r="A280" s="41"/>
      <c r="B280" s="42"/>
      <c r="E280" s="43"/>
    </row>
    <row r="281">
      <c r="A281" s="41"/>
      <c r="B281" s="42"/>
      <c r="E281" s="43"/>
    </row>
    <row r="282">
      <c r="A282" s="41"/>
      <c r="B282" s="42"/>
      <c r="E282" s="43"/>
    </row>
    <row r="283">
      <c r="A283" s="41"/>
      <c r="B283" s="42"/>
      <c r="E283" s="43"/>
    </row>
    <row r="284">
      <c r="A284" s="41"/>
      <c r="B284" s="42"/>
      <c r="E284" s="43"/>
    </row>
    <row r="285">
      <c r="A285" s="41"/>
      <c r="B285" s="42"/>
      <c r="E285" s="43"/>
    </row>
    <row r="286">
      <c r="A286" s="41"/>
      <c r="B286" s="42"/>
      <c r="E286" s="43"/>
    </row>
    <row r="287">
      <c r="A287" s="41"/>
      <c r="B287" s="42"/>
      <c r="E287" s="43"/>
    </row>
    <row r="288">
      <c r="A288" s="41"/>
      <c r="B288" s="42"/>
      <c r="E288" s="43"/>
    </row>
    <row r="289">
      <c r="A289" s="41"/>
      <c r="B289" s="42"/>
      <c r="E289" s="43"/>
    </row>
    <row r="290">
      <c r="A290" s="41"/>
      <c r="B290" s="42"/>
      <c r="E290" s="43"/>
    </row>
    <row r="291">
      <c r="A291" s="41"/>
      <c r="B291" s="42"/>
      <c r="E291" s="43"/>
    </row>
    <row r="292">
      <c r="A292" s="41"/>
      <c r="B292" s="42"/>
      <c r="E292" s="43"/>
    </row>
    <row r="293">
      <c r="A293" s="41"/>
      <c r="B293" s="42"/>
      <c r="E293" s="43"/>
    </row>
    <row r="294">
      <c r="A294" s="41"/>
      <c r="B294" s="42"/>
      <c r="E294" s="43"/>
    </row>
    <row r="295">
      <c r="A295" s="41"/>
      <c r="B295" s="42"/>
      <c r="E295" s="43"/>
    </row>
    <row r="296">
      <c r="A296" s="41"/>
      <c r="B296" s="42"/>
      <c r="E296" s="43"/>
    </row>
    <row r="297">
      <c r="A297" s="41"/>
      <c r="B297" s="42"/>
      <c r="E297" s="43"/>
    </row>
    <row r="298">
      <c r="A298" s="41"/>
      <c r="B298" s="42"/>
      <c r="E298" s="43"/>
    </row>
    <row r="299">
      <c r="A299" s="41"/>
      <c r="B299" s="42"/>
      <c r="E299" s="43"/>
    </row>
    <row r="300">
      <c r="A300" s="41"/>
      <c r="B300" s="42"/>
      <c r="E300" s="43"/>
    </row>
    <row r="301">
      <c r="A301" s="41"/>
      <c r="B301" s="42"/>
      <c r="E301" s="43"/>
    </row>
    <row r="302">
      <c r="A302" s="41"/>
      <c r="B302" s="42"/>
      <c r="E302" s="43"/>
    </row>
    <row r="303">
      <c r="A303" s="41"/>
      <c r="B303" s="42"/>
      <c r="E303" s="43"/>
    </row>
    <row r="304">
      <c r="A304" s="41"/>
      <c r="B304" s="42"/>
      <c r="E304" s="43"/>
    </row>
    <row r="305">
      <c r="A305" s="41"/>
      <c r="B305" s="42"/>
      <c r="E305" s="43"/>
    </row>
    <row r="306">
      <c r="A306" s="41"/>
      <c r="B306" s="42"/>
      <c r="E306" s="43"/>
    </row>
    <row r="307">
      <c r="A307" s="41"/>
      <c r="B307" s="42"/>
      <c r="E307" s="43"/>
    </row>
    <row r="308">
      <c r="A308" s="41"/>
      <c r="B308" s="42"/>
      <c r="E308" s="43"/>
    </row>
    <row r="309">
      <c r="A309" s="41"/>
      <c r="B309" s="42"/>
      <c r="E309" s="43"/>
    </row>
    <row r="310">
      <c r="A310" s="41"/>
      <c r="B310" s="42"/>
      <c r="E310" s="43"/>
    </row>
    <row r="311">
      <c r="A311" s="41"/>
      <c r="B311" s="42"/>
      <c r="E311" s="43"/>
    </row>
    <row r="312">
      <c r="A312" s="41"/>
      <c r="B312" s="42"/>
      <c r="E312" s="43"/>
    </row>
    <row r="313">
      <c r="A313" s="41"/>
      <c r="B313" s="42"/>
      <c r="E313" s="43"/>
    </row>
    <row r="314">
      <c r="A314" s="41"/>
      <c r="B314" s="42"/>
      <c r="E314" s="43"/>
    </row>
    <row r="315">
      <c r="A315" s="41"/>
      <c r="B315" s="42"/>
      <c r="E315" s="43"/>
    </row>
    <row r="316">
      <c r="A316" s="41"/>
      <c r="B316" s="42"/>
      <c r="E316" s="43"/>
    </row>
    <row r="317">
      <c r="A317" s="41"/>
      <c r="B317" s="42"/>
      <c r="E317" s="43"/>
    </row>
    <row r="318">
      <c r="A318" s="41"/>
      <c r="B318" s="42"/>
      <c r="E318" s="43"/>
    </row>
    <row r="319">
      <c r="A319" s="41"/>
      <c r="B319" s="42"/>
      <c r="E319" s="43"/>
    </row>
    <row r="320">
      <c r="A320" s="41"/>
      <c r="B320" s="42"/>
      <c r="E320" s="43"/>
    </row>
    <row r="321">
      <c r="A321" s="41"/>
      <c r="B321" s="42"/>
      <c r="E321" s="43"/>
    </row>
    <row r="322">
      <c r="A322" s="41"/>
      <c r="B322" s="42"/>
      <c r="E322" s="43"/>
    </row>
    <row r="323">
      <c r="A323" s="41"/>
      <c r="B323" s="42"/>
      <c r="E323" s="43"/>
    </row>
    <row r="324">
      <c r="A324" s="41"/>
      <c r="B324" s="42"/>
      <c r="E324" s="43"/>
    </row>
    <row r="325">
      <c r="A325" s="41"/>
      <c r="B325" s="42"/>
      <c r="E325" s="43"/>
    </row>
    <row r="326">
      <c r="A326" s="41"/>
      <c r="B326" s="42"/>
      <c r="E326" s="43"/>
    </row>
    <row r="327">
      <c r="A327" s="41"/>
      <c r="B327" s="42"/>
      <c r="E327" s="43"/>
    </row>
    <row r="328">
      <c r="A328" s="41"/>
      <c r="B328" s="42"/>
      <c r="E328" s="43"/>
    </row>
    <row r="329">
      <c r="A329" s="41"/>
      <c r="B329" s="42"/>
      <c r="E329" s="43"/>
    </row>
    <row r="330">
      <c r="A330" s="41"/>
      <c r="B330" s="42"/>
      <c r="E330" s="43"/>
    </row>
    <row r="331">
      <c r="A331" s="41"/>
      <c r="B331" s="42"/>
      <c r="E331" s="43"/>
    </row>
    <row r="332">
      <c r="A332" s="41"/>
      <c r="B332" s="42"/>
      <c r="E332" s="43"/>
    </row>
    <row r="333">
      <c r="A333" s="41"/>
      <c r="B333" s="42"/>
      <c r="E333" s="43"/>
    </row>
    <row r="334">
      <c r="A334" s="41"/>
      <c r="B334" s="42"/>
      <c r="E334" s="43"/>
    </row>
    <row r="335">
      <c r="A335" s="41"/>
      <c r="B335" s="42"/>
      <c r="E335" s="43"/>
    </row>
    <row r="336">
      <c r="A336" s="41"/>
      <c r="B336" s="42"/>
      <c r="E336" s="43"/>
    </row>
    <row r="337">
      <c r="A337" s="41"/>
      <c r="B337" s="42"/>
      <c r="E337" s="43"/>
    </row>
    <row r="338">
      <c r="A338" s="41"/>
      <c r="B338" s="42"/>
      <c r="E338" s="43"/>
    </row>
    <row r="339">
      <c r="A339" s="41"/>
      <c r="B339" s="42"/>
      <c r="E339" s="43"/>
    </row>
    <row r="340">
      <c r="A340" s="41"/>
      <c r="B340" s="42"/>
      <c r="E340" s="43"/>
    </row>
    <row r="341">
      <c r="A341" s="41"/>
      <c r="B341" s="42"/>
      <c r="E341" s="43"/>
    </row>
    <row r="342">
      <c r="A342" s="41"/>
      <c r="B342" s="42"/>
      <c r="E342" s="43"/>
    </row>
    <row r="343">
      <c r="A343" s="41"/>
      <c r="B343" s="42"/>
      <c r="E343" s="43"/>
    </row>
    <row r="344">
      <c r="A344" s="41"/>
      <c r="B344" s="42"/>
      <c r="E344" s="43"/>
    </row>
    <row r="345">
      <c r="A345" s="41"/>
      <c r="B345" s="42"/>
      <c r="E345" s="43"/>
    </row>
    <row r="346">
      <c r="A346" s="41"/>
      <c r="B346" s="42"/>
      <c r="E346" s="43"/>
    </row>
    <row r="347">
      <c r="A347" s="41"/>
      <c r="B347" s="42"/>
      <c r="E347" s="43"/>
    </row>
    <row r="348">
      <c r="A348" s="41"/>
      <c r="B348" s="42"/>
      <c r="E348" s="43"/>
    </row>
    <row r="349">
      <c r="A349" s="41"/>
      <c r="B349" s="42"/>
      <c r="E349" s="43"/>
    </row>
    <row r="350">
      <c r="A350" s="41"/>
      <c r="B350" s="42"/>
      <c r="E350" s="43"/>
    </row>
    <row r="351">
      <c r="A351" s="41"/>
      <c r="B351" s="42"/>
      <c r="E351" s="43"/>
    </row>
    <row r="352">
      <c r="A352" s="41"/>
      <c r="B352" s="42"/>
      <c r="E352" s="43"/>
    </row>
    <row r="353">
      <c r="A353" s="41"/>
      <c r="B353" s="42"/>
      <c r="E353" s="43"/>
    </row>
    <row r="354">
      <c r="A354" s="41"/>
      <c r="B354" s="42"/>
      <c r="E354" s="43"/>
    </row>
    <row r="355">
      <c r="A355" s="41"/>
      <c r="B355" s="42"/>
      <c r="E355" s="43"/>
    </row>
    <row r="356">
      <c r="A356" s="41"/>
      <c r="B356" s="42"/>
      <c r="E356" s="43"/>
    </row>
    <row r="357">
      <c r="A357" s="41"/>
      <c r="B357" s="42"/>
      <c r="E357" s="43"/>
    </row>
    <row r="358">
      <c r="A358" s="41"/>
      <c r="B358" s="42"/>
      <c r="E358" s="43"/>
    </row>
    <row r="359">
      <c r="A359" s="41"/>
      <c r="B359" s="42"/>
      <c r="E359" s="43"/>
    </row>
    <row r="360">
      <c r="A360" s="41"/>
      <c r="B360" s="42"/>
      <c r="E360" s="43"/>
    </row>
    <row r="361">
      <c r="A361" s="41"/>
      <c r="B361" s="42"/>
      <c r="E361" s="43"/>
    </row>
    <row r="362">
      <c r="A362" s="41"/>
      <c r="B362" s="42"/>
      <c r="E362" s="43"/>
    </row>
    <row r="363">
      <c r="A363" s="41"/>
      <c r="B363" s="42"/>
      <c r="E363" s="43"/>
    </row>
    <row r="364">
      <c r="A364" s="41"/>
      <c r="B364" s="42"/>
      <c r="E364" s="43"/>
    </row>
    <row r="365">
      <c r="A365" s="41"/>
      <c r="B365" s="42"/>
      <c r="E365" s="43"/>
    </row>
    <row r="366">
      <c r="A366" s="41"/>
      <c r="B366" s="42"/>
      <c r="E366" s="43"/>
    </row>
    <row r="367">
      <c r="A367" s="41"/>
      <c r="B367" s="42"/>
      <c r="E367" s="43"/>
    </row>
    <row r="368">
      <c r="A368" s="41"/>
      <c r="B368" s="42"/>
      <c r="E368" s="43"/>
    </row>
    <row r="369">
      <c r="A369" s="41"/>
      <c r="B369" s="42"/>
      <c r="E369" s="43"/>
    </row>
    <row r="370">
      <c r="A370" s="41"/>
      <c r="B370" s="42"/>
      <c r="E370" s="43"/>
    </row>
    <row r="371">
      <c r="A371" s="41"/>
      <c r="B371" s="42"/>
      <c r="E371" s="43"/>
    </row>
    <row r="372">
      <c r="A372" s="41"/>
      <c r="B372" s="42"/>
      <c r="E372" s="43"/>
    </row>
    <row r="373">
      <c r="A373" s="41"/>
      <c r="B373" s="42"/>
      <c r="E373" s="43"/>
    </row>
    <row r="374">
      <c r="A374" s="41"/>
      <c r="B374" s="42"/>
      <c r="E374" s="43"/>
    </row>
    <row r="375">
      <c r="A375" s="41"/>
      <c r="B375" s="42"/>
      <c r="E375" s="43"/>
    </row>
    <row r="376">
      <c r="A376" s="41"/>
      <c r="B376" s="42"/>
      <c r="E376" s="43"/>
    </row>
    <row r="377">
      <c r="A377" s="41"/>
      <c r="B377" s="42"/>
      <c r="E377" s="43"/>
    </row>
    <row r="378">
      <c r="A378" s="41"/>
      <c r="B378" s="42"/>
      <c r="E378" s="43"/>
    </row>
    <row r="379">
      <c r="A379" s="41"/>
      <c r="B379" s="42"/>
      <c r="E379" s="43"/>
    </row>
    <row r="380">
      <c r="A380" s="41"/>
      <c r="B380" s="42"/>
      <c r="E380" s="43"/>
    </row>
    <row r="381">
      <c r="A381" s="41"/>
      <c r="B381" s="42"/>
      <c r="E381" s="43"/>
    </row>
    <row r="382">
      <c r="A382" s="41"/>
      <c r="B382" s="42"/>
      <c r="E382" s="43"/>
    </row>
    <row r="383">
      <c r="A383" s="41"/>
      <c r="B383" s="42"/>
      <c r="E383" s="43"/>
    </row>
    <row r="384">
      <c r="A384" s="41"/>
      <c r="B384" s="42"/>
      <c r="E384" s="43"/>
    </row>
    <row r="385">
      <c r="A385" s="41"/>
      <c r="B385" s="42"/>
      <c r="E385" s="43"/>
    </row>
    <row r="386">
      <c r="A386" s="41"/>
      <c r="B386" s="42"/>
      <c r="E386" s="43"/>
    </row>
    <row r="387">
      <c r="A387" s="41"/>
      <c r="B387" s="42"/>
      <c r="E387" s="43"/>
    </row>
    <row r="388">
      <c r="A388" s="41"/>
      <c r="B388" s="42"/>
      <c r="E388" s="43"/>
    </row>
    <row r="389">
      <c r="A389" s="41"/>
      <c r="B389" s="42"/>
      <c r="E389" s="43"/>
    </row>
    <row r="390">
      <c r="A390" s="41"/>
      <c r="B390" s="42"/>
      <c r="E390" s="43"/>
    </row>
    <row r="391">
      <c r="A391" s="41"/>
      <c r="B391" s="42"/>
      <c r="E391" s="43"/>
    </row>
    <row r="392">
      <c r="A392" s="41"/>
      <c r="B392" s="42"/>
      <c r="E392" s="43"/>
    </row>
    <row r="393">
      <c r="A393" s="41"/>
      <c r="B393" s="42"/>
      <c r="E393" s="43"/>
    </row>
    <row r="394">
      <c r="A394" s="41"/>
      <c r="B394" s="42"/>
      <c r="E394" s="43"/>
    </row>
    <row r="395">
      <c r="A395" s="41"/>
      <c r="B395" s="42"/>
      <c r="E395" s="43"/>
    </row>
    <row r="396">
      <c r="A396" s="41"/>
      <c r="B396" s="42"/>
      <c r="E396" s="43"/>
    </row>
    <row r="397">
      <c r="A397" s="41"/>
      <c r="B397" s="42"/>
      <c r="E397" s="43"/>
    </row>
    <row r="398">
      <c r="A398" s="41"/>
      <c r="B398" s="42"/>
      <c r="E398" s="43"/>
    </row>
    <row r="399">
      <c r="A399" s="41"/>
      <c r="B399" s="42"/>
      <c r="E399" s="43"/>
    </row>
    <row r="400">
      <c r="A400" s="41"/>
      <c r="B400" s="42"/>
      <c r="E400" s="43"/>
    </row>
    <row r="401">
      <c r="A401" s="41"/>
      <c r="B401" s="42"/>
      <c r="E401" s="43"/>
    </row>
    <row r="402">
      <c r="A402" s="41"/>
      <c r="B402" s="42"/>
      <c r="E402" s="43"/>
    </row>
    <row r="403">
      <c r="A403" s="41"/>
      <c r="B403" s="42"/>
      <c r="E403" s="43"/>
    </row>
    <row r="404">
      <c r="A404" s="41"/>
      <c r="B404" s="42"/>
      <c r="E404" s="43"/>
    </row>
    <row r="405">
      <c r="A405" s="41"/>
      <c r="B405" s="42"/>
      <c r="E405" s="43"/>
    </row>
    <row r="406">
      <c r="A406" s="41"/>
      <c r="B406" s="42"/>
      <c r="E406" s="43"/>
    </row>
    <row r="407">
      <c r="A407" s="41"/>
      <c r="B407" s="42"/>
      <c r="E407" s="43"/>
    </row>
    <row r="408">
      <c r="A408" s="41"/>
      <c r="B408" s="42"/>
      <c r="E408" s="43"/>
    </row>
    <row r="409">
      <c r="A409" s="41"/>
      <c r="B409" s="42"/>
      <c r="E409" s="43"/>
    </row>
    <row r="410">
      <c r="A410" s="41"/>
      <c r="B410" s="42"/>
      <c r="E410" s="43"/>
    </row>
    <row r="411">
      <c r="A411" s="41"/>
      <c r="B411" s="42"/>
      <c r="E411" s="43"/>
    </row>
    <row r="412">
      <c r="A412" s="41"/>
      <c r="B412" s="42"/>
      <c r="E412" s="43"/>
    </row>
    <row r="413">
      <c r="A413" s="41"/>
      <c r="B413" s="42"/>
      <c r="E413" s="43"/>
    </row>
    <row r="414">
      <c r="A414" s="41"/>
      <c r="B414" s="42"/>
      <c r="E414" s="43"/>
    </row>
    <row r="415">
      <c r="A415" s="41"/>
      <c r="B415" s="42"/>
      <c r="E415" s="43"/>
    </row>
    <row r="416">
      <c r="A416" s="41"/>
      <c r="B416" s="42"/>
      <c r="E416" s="43"/>
    </row>
    <row r="417">
      <c r="A417" s="41"/>
      <c r="B417" s="42"/>
      <c r="E417" s="43"/>
    </row>
    <row r="418">
      <c r="A418" s="41"/>
      <c r="B418" s="42"/>
      <c r="E418" s="43"/>
    </row>
    <row r="419">
      <c r="A419" s="41"/>
      <c r="B419" s="42"/>
      <c r="E419" s="43"/>
    </row>
    <row r="420">
      <c r="A420" s="41"/>
      <c r="B420" s="42"/>
      <c r="E420" s="43"/>
    </row>
    <row r="421">
      <c r="A421" s="41"/>
      <c r="B421" s="42"/>
      <c r="E421" s="43"/>
    </row>
    <row r="422">
      <c r="A422" s="41"/>
      <c r="B422" s="42"/>
      <c r="E422" s="43"/>
    </row>
    <row r="423">
      <c r="A423" s="41"/>
      <c r="B423" s="42"/>
      <c r="E423" s="43"/>
    </row>
    <row r="424">
      <c r="A424" s="41"/>
      <c r="B424" s="42"/>
      <c r="E424" s="43"/>
    </row>
    <row r="425">
      <c r="A425" s="41"/>
      <c r="B425" s="42"/>
      <c r="E425" s="43"/>
    </row>
    <row r="426">
      <c r="A426" s="41"/>
      <c r="B426" s="42"/>
      <c r="E426" s="43"/>
    </row>
    <row r="427">
      <c r="A427" s="41"/>
      <c r="B427" s="42"/>
      <c r="E427" s="43"/>
    </row>
    <row r="428">
      <c r="A428" s="41"/>
      <c r="B428" s="42"/>
      <c r="E428" s="43"/>
    </row>
    <row r="429">
      <c r="A429" s="41"/>
      <c r="B429" s="42"/>
      <c r="E429" s="43"/>
    </row>
    <row r="430">
      <c r="A430" s="41"/>
      <c r="B430" s="42"/>
      <c r="E430" s="43"/>
    </row>
    <row r="431">
      <c r="A431" s="41"/>
      <c r="B431" s="42"/>
      <c r="E431" s="43"/>
    </row>
    <row r="432">
      <c r="A432" s="41"/>
      <c r="B432" s="42"/>
      <c r="E432" s="43"/>
    </row>
    <row r="433">
      <c r="A433" s="41"/>
      <c r="B433" s="42"/>
      <c r="E433" s="43"/>
    </row>
    <row r="434">
      <c r="A434" s="41"/>
      <c r="B434" s="42"/>
      <c r="E434" s="43"/>
    </row>
    <row r="435">
      <c r="A435" s="41"/>
      <c r="B435" s="42"/>
      <c r="E435" s="43"/>
    </row>
    <row r="436">
      <c r="A436" s="41"/>
      <c r="B436" s="42"/>
      <c r="E436" s="43"/>
    </row>
    <row r="437">
      <c r="A437" s="41"/>
      <c r="B437" s="42"/>
      <c r="E437" s="43"/>
    </row>
    <row r="438">
      <c r="A438" s="41"/>
      <c r="B438" s="42"/>
      <c r="E438" s="43"/>
    </row>
    <row r="439">
      <c r="A439" s="41"/>
      <c r="B439" s="42"/>
      <c r="E439" s="43"/>
    </row>
    <row r="440">
      <c r="A440" s="41"/>
      <c r="B440" s="42"/>
      <c r="E440" s="43"/>
    </row>
    <row r="441">
      <c r="A441" s="41"/>
      <c r="B441" s="42"/>
      <c r="E441" s="43"/>
    </row>
    <row r="442">
      <c r="A442" s="41"/>
      <c r="B442" s="42"/>
      <c r="E442" s="43"/>
    </row>
    <row r="443">
      <c r="A443" s="41"/>
      <c r="B443" s="42"/>
      <c r="E443" s="43"/>
    </row>
    <row r="444">
      <c r="A444" s="41"/>
      <c r="B444" s="42"/>
      <c r="E444" s="43"/>
    </row>
    <row r="445">
      <c r="A445" s="41"/>
      <c r="B445" s="42"/>
      <c r="E445" s="43"/>
    </row>
    <row r="446">
      <c r="A446" s="41"/>
      <c r="B446" s="42"/>
      <c r="E446" s="43"/>
    </row>
    <row r="447">
      <c r="A447" s="41"/>
      <c r="B447" s="42"/>
      <c r="E447" s="43"/>
    </row>
    <row r="448">
      <c r="A448" s="41"/>
      <c r="B448" s="42"/>
      <c r="E448" s="43"/>
    </row>
    <row r="449">
      <c r="A449" s="41"/>
      <c r="B449" s="42"/>
      <c r="E449" s="43"/>
    </row>
    <row r="450">
      <c r="A450" s="41"/>
      <c r="B450" s="42"/>
      <c r="E450" s="43"/>
    </row>
    <row r="451">
      <c r="A451" s="41"/>
      <c r="B451" s="42"/>
      <c r="E451" s="43"/>
    </row>
    <row r="452">
      <c r="A452" s="41"/>
      <c r="B452" s="42"/>
      <c r="E452" s="43"/>
    </row>
    <row r="453">
      <c r="A453" s="41"/>
      <c r="B453" s="42"/>
      <c r="E453" s="43"/>
    </row>
    <row r="454">
      <c r="A454" s="41"/>
      <c r="B454" s="42"/>
      <c r="E454" s="43"/>
    </row>
    <row r="455">
      <c r="A455" s="41"/>
      <c r="B455" s="42"/>
      <c r="E455" s="43"/>
    </row>
    <row r="456">
      <c r="A456" s="41"/>
      <c r="B456" s="42"/>
      <c r="E456" s="43"/>
    </row>
    <row r="457">
      <c r="A457" s="41"/>
      <c r="B457" s="42"/>
      <c r="E457" s="43"/>
    </row>
    <row r="458">
      <c r="A458" s="41"/>
      <c r="B458" s="42"/>
      <c r="E458" s="43"/>
    </row>
    <row r="459">
      <c r="A459" s="41"/>
      <c r="B459" s="42"/>
      <c r="E459" s="43"/>
    </row>
    <row r="460">
      <c r="A460" s="41"/>
      <c r="B460" s="42"/>
      <c r="E460" s="43"/>
    </row>
    <row r="461">
      <c r="A461" s="41"/>
      <c r="B461" s="42"/>
      <c r="E461" s="43"/>
    </row>
    <row r="462">
      <c r="A462" s="41"/>
      <c r="B462" s="42"/>
      <c r="E462" s="43"/>
    </row>
    <row r="463">
      <c r="A463" s="41"/>
      <c r="B463" s="42"/>
      <c r="E463" s="43"/>
    </row>
    <row r="464">
      <c r="A464" s="41"/>
      <c r="B464" s="42"/>
      <c r="E464" s="43"/>
    </row>
    <row r="465">
      <c r="A465" s="41"/>
      <c r="B465" s="42"/>
      <c r="E465" s="43"/>
    </row>
    <row r="466">
      <c r="A466" s="41"/>
      <c r="B466" s="42"/>
      <c r="E466" s="43"/>
    </row>
    <row r="467">
      <c r="A467" s="41"/>
      <c r="B467" s="42"/>
      <c r="E467" s="43"/>
    </row>
    <row r="468">
      <c r="A468" s="41"/>
      <c r="B468" s="42"/>
      <c r="E468" s="43"/>
    </row>
    <row r="469">
      <c r="A469" s="41"/>
      <c r="B469" s="42"/>
      <c r="E469" s="43"/>
    </row>
    <row r="470">
      <c r="A470" s="41"/>
      <c r="B470" s="42"/>
      <c r="E470" s="43"/>
    </row>
    <row r="471">
      <c r="A471" s="41"/>
      <c r="B471" s="42"/>
      <c r="E471" s="43"/>
    </row>
    <row r="472">
      <c r="A472" s="41"/>
      <c r="B472" s="42"/>
      <c r="E472" s="43"/>
    </row>
    <row r="473">
      <c r="A473" s="41"/>
      <c r="B473" s="42"/>
      <c r="E473" s="43"/>
    </row>
    <row r="474">
      <c r="A474" s="41"/>
      <c r="B474" s="42"/>
      <c r="E474" s="43"/>
    </row>
    <row r="475">
      <c r="A475" s="41"/>
      <c r="B475" s="42"/>
      <c r="E475" s="43"/>
    </row>
    <row r="476">
      <c r="A476" s="41"/>
      <c r="B476" s="42"/>
      <c r="E476" s="43"/>
    </row>
    <row r="477">
      <c r="A477" s="41"/>
      <c r="B477" s="42"/>
      <c r="E477" s="43"/>
    </row>
    <row r="478">
      <c r="A478" s="41"/>
      <c r="B478" s="42"/>
      <c r="E478" s="43"/>
    </row>
    <row r="479">
      <c r="A479" s="41"/>
      <c r="B479" s="42"/>
      <c r="E479" s="43"/>
    </row>
    <row r="480">
      <c r="A480" s="41"/>
      <c r="B480" s="42"/>
      <c r="E480" s="43"/>
    </row>
    <row r="481">
      <c r="A481" s="41"/>
      <c r="B481" s="42"/>
      <c r="E481" s="43"/>
    </row>
    <row r="482">
      <c r="A482" s="41"/>
      <c r="B482" s="42"/>
      <c r="E482" s="43"/>
    </row>
    <row r="483">
      <c r="A483" s="41"/>
      <c r="B483" s="42"/>
      <c r="E483" s="43"/>
    </row>
    <row r="484">
      <c r="A484" s="41"/>
      <c r="B484" s="42"/>
      <c r="E484" s="43"/>
    </row>
    <row r="485">
      <c r="A485" s="41"/>
      <c r="B485" s="42"/>
      <c r="E485" s="43"/>
    </row>
    <row r="486">
      <c r="A486" s="41"/>
      <c r="B486" s="42"/>
      <c r="E486" s="43"/>
    </row>
    <row r="487">
      <c r="A487" s="41"/>
      <c r="B487" s="42"/>
      <c r="E487" s="43"/>
    </row>
    <row r="488">
      <c r="A488" s="41"/>
      <c r="B488" s="42"/>
      <c r="E488" s="43"/>
    </row>
    <row r="489">
      <c r="A489" s="41"/>
      <c r="B489" s="42"/>
      <c r="E489" s="43"/>
    </row>
    <row r="490">
      <c r="A490" s="41"/>
      <c r="B490" s="42"/>
      <c r="E490" s="43"/>
    </row>
    <row r="491">
      <c r="A491" s="41"/>
      <c r="B491" s="42"/>
      <c r="E491" s="43"/>
    </row>
    <row r="492">
      <c r="A492" s="41"/>
      <c r="B492" s="42"/>
      <c r="E492" s="43"/>
    </row>
    <row r="493">
      <c r="A493" s="41"/>
      <c r="B493" s="42"/>
      <c r="E493" s="43"/>
    </row>
    <row r="494">
      <c r="A494" s="41"/>
      <c r="B494" s="42"/>
      <c r="E494" s="43"/>
    </row>
    <row r="495">
      <c r="A495" s="41"/>
      <c r="B495" s="42"/>
      <c r="E495" s="43"/>
    </row>
    <row r="496">
      <c r="A496" s="41"/>
      <c r="B496" s="42"/>
      <c r="E496" s="43"/>
    </row>
    <row r="497">
      <c r="A497" s="41"/>
      <c r="B497" s="42"/>
      <c r="E497" s="43"/>
    </row>
    <row r="498">
      <c r="A498" s="41"/>
      <c r="B498" s="42"/>
      <c r="E498" s="43"/>
    </row>
    <row r="499">
      <c r="A499" s="41"/>
      <c r="B499" s="42"/>
      <c r="E499" s="43"/>
    </row>
    <row r="500">
      <c r="A500" s="41"/>
      <c r="B500" s="42"/>
      <c r="E500" s="43"/>
    </row>
    <row r="501">
      <c r="A501" s="41"/>
      <c r="B501" s="42"/>
      <c r="E501" s="43"/>
    </row>
    <row r="502">
      <c r="A502" s="41"/>
      <c r="B502" s="42"/>
      <c r="E502" s="43"/>
    </row>
    <row r="503">
      <c r="A503" s="41"/>
      <c r="B503" s="42"/>
      <c r="E503" s="43"/>
    </row>
    <row r="504">
      <c r="A504" s="41"/>
      <c r="B504" s="42"/>
      <c r="E504" s="43"/>
    </row>
    <row r="505">
      <c r="A505" s="41"/>
      <c r="B505" s="42"/>
      <c r="E505" s="43"/>
    </row>
    <row r="506">
      <c r="A506" s="41"/>
      <c r="B506" s="42"/>
      <c r="E506" s="43"/>
    </row>
    <row r="507">
      <c r="A507" s="41"/>
      <c r="B507" s="42"/>
      <c r="E507" s="43"/>
    </row>
    <row r="508">
      <c r="A508" s="41"/>
      <c r="B508" s="42"/>
      <c r="E508" s="43"/>
    </row>
    <row r="509">
      <c r="A509" s="41"/>
      <c r="B509" s="42"/>
      <c r="E509" s="43"/>
    </row>
    <row r="510">
      <c r="A510" s="41"/>
      <c r="B510" s="42"/>
      <c r="E510" s="43"/>
    </row>
    <row r="511">
      <c r="A511" s="41"/>
      <c r="B511" s="42"/>
      <c r="E511" s="43"/>
    </row>
    <row r="512">
      <c r="A512" s="41"/>
      <c r="B512" s="42"/>
      <c r="E512" s="43"/>
    </row>
    <row r="513">
      <c r="A513" s="41"/>
      <c r="B513" s="42"/>
      <c r="E513" s="43"/>
    </row>
    <row r="514">
      <c r="A514" s="41"/>
      <c r="B514" s="42"/>
      <c r="E514" s="43"/>
    </row>
    <row r="515">
      <c r="A515" s="41"/>
      <c r="B515" s="42"/>
      <c r="E515" s="43"/>
    </row>
    <row r="516">
      <c r="A516" s="41"/>
      <c r="B516" s="42"/>
      <c r="E516" s="43"/>
    </row>
    <row r="517">
      <c r="A517" s="41"/>
      <c r="B517" s="42"/>
      <c r="E517" s="43"/>
    </row>
    <row r="518">
      <c r="A518" s="41"/>
      <c r="B518" s="42"/>
      <c r="E518" s="43"/>
    </row>
    <row r="519">
      <c r="A519" s="41"/>
      <c r="B519" s="42"/>
      <c r="E519" s="43"/>
    </row>
    <row r="520">
      <c r="A520" s="41"/>
      <c r="B520" s="42"/>
      <c r="E520" s="43"/>
    </row>
    <row r="521">
      <c r="A521" s="41"/>
      <c r="B521" s="42"/>
      <c r="E521" s="43"/>
    </row>
    <row r="522">
      <c r="A522" s="41"/>
      <c r="B522" s="42"/>
      <c r="E522" s="43"/>
    </row>
    <row r="523">
      <c r="A523" s="41"/>
      <c r="B523" s="42"/>
      <c r="E523" s="43"/>
    </row>
    <row r="524">
      <c r="A524" s="41"/>
      <c r="B524" s="42"/>
      <c r="E524" s="43"/>
    </row>
    <row r="525">
      <c r="A525" s="41"/>
      <c r="B525" s="42"/>
      <c r="E525" s="43"/>
    </row>
    <row r="526">
      <c r="A526" s="41"/>
      <c r="B526" s="42"/>
      <c r="E526" s="43"/>
    </row>
    <row r="527">
      <c r="A527" s="41"/>
      <c r="B527" s="42"/>
      <c r="E527" s="43"/>
    </row>
    <row r="528">
      <c r="A528" s="41"/>
      <c r="B528" s="42"/>
      <c r="E528" s="43"/>
    </row>
    <row r="529">
      <c r="A529" s="41"/>
      <c r="B529" s="42"/>
      <c r="E529" s="43"/>
    </row>
    <row r="530">
      <c r="A530" s="41"/>
      <c r="B530" s="42"/>
      <c r="E530" s="43"/>
    </row>
    <row r="531">
      <c r="A531" s="41"/>
      <c r="B531" s="42"/>
      <c r="E531" s="43"/>
    </row>
    <row r="532">
      <c r="A532" s="41"/>
      <c r="B532" s="42"/>
      <c r="E532" s="43"/>
    </row>
    <row r="533">
      <c r="A533" s="41"/>
      <c r="B533" s="42"/>
      <c r="E533" s="43"/>
    </row>
    <row r="534">
      <c r="A534" s="41"/>
      <c r="B534" s="42"/>
      <c r="E534" s="43"/>
    </row>
    <row r="535">
      <c r="A535" s="41"/>
      <c r="B535" s="42"/>
      <c r="E535" s="43"/>
    </row>
    <row r="536">
      <c r="A536" s="41"/>
      <c r="B536" s="42"/>
      <c r="E536" s="43"/>
    </row>
    <row r="537">
      <c r="A537" s="41"/>
      <c r="B537" s="42"/>
      <c r="E537" s="43"/>
    </row>
    <row r="538">
      <c r="A538" s="41"/>
      <c r="B538" s="42"/>
      <c r="E538" s="43"/>
    </row>
    <row r="539">
      <c r="A539" s="41"/>
      <c r="B539" s="42"/>
      <c r="E539" s="43"/>
    </row>
    <row r="540">
      <c r="A540" s="41"/>
      <c r="B540" s="42"/>
      <c r="E540" s="43"/>
    </row>
    <row r="541">
      <c r="A541" s="41"/>
      <c r="B541" s="42"/>
      <c r="E541" s="43"/>
    </row>
    <row r="542">
      <c r="A542" s="41"/>
      <c r="B542" s="42"/>
      <c r="E542" s="43"/>
    </row>
    <row r="543">
      <c r="A543" s="41"/>
      <c r="B543" s="42"/>
      <c r="E543" s="43"/>
    </row>
    <row r="544">
      <c r="A544" s="41"/>
      <c r="B544" s="42"/>
      <c r="E544" s="43"/>
    </row>
    <row r="545">
      <c r="A545" s="41"/>
      <c r="B545" s="42"/>
      <c r="E545" s="43"/>
    </row>
    <row r="546">
      <c r="A546" s="41"/>
      <c r="B546" s="42"/>
      <c r="E546" s="43"/>
    </row>
    <row r="547">
      <c r="A547" s="41"/>
      <c r="B547" s="42"/>
      <c r="E547" s="43"/>
    </row>
    <row r="548">
      <c r="A548" s="41"/>
      <c r="B548" s="42"/>
      <c r="E548" s="43"/>
    </row>
    <row r="549">
      <c r="A549" s="41"/>
      <c r="B549" s="42"/>
      <c r="E549" s="43"/>
    </row>
    <row r="550">
      <c r="A550" s="41"/>
      <c r="B550" s="42"/>
      <c r="E550" s="43"/>
    </row>
    <row r="551">
      <c r="A551" s="41"/>
      <c r="B551" s="42"/>
      <c r="E551" s="43"/>
    </row>
    <row r="552">
      <c r="A552" s="41"/>
      <c r="B552" s="42"/>
      <c r="E552" s="43"/>
    </row>
    <row r="553">
      <c r="A553" s="41"/>
      <c r="B553" s="42"/>
      <c r="E553" s="43"/>
    </row>
    <row r="554">
      <c r="A554" s="41"/>
      <c r="B554" s="42"/>
      <c r="E554" s="43"/>
    </row>
    <row r="555">
      <c r="A555" s="41"/>
      <c r="B555" s="42"/>
      <c r="E555" s="43"/>
    </row>
    <row r="556">
      <c r="A556" s="41"/>
      <c r="B556" s="42"/>
      <c r="E556" s="43"/>
    </row>
    <row r="557">
      <c r="A557" s="41"/>
      <c r="B557" s="42"/>
      <c r="E557" s="43"/>
    </row>
    <row r="558">
      <c r="A558" s="41"/>
      <c r="B558" s="42"/>
      <c r="E558" s="43"/>
    </row>
    <row r="559">
      <c r="A559" s="41"/>
      <c r="B559" s="42"/>
      <c r="E559" s="43"/>
    </row>
    <row r="560">
      <c r="A560" s="41"/>
      <c r="B560" s="42"/>
      <c r="E560" s="43"/>
    </row>
    <row r="561">
      <c r="A561" s="41"/>
      <c r="B561" s="42"/>
      <c r="E561" s="43"/>
    </row>
    <row r="562">
      <c r="A562" s="41"/>
      <c r="B562" s="42"/>
      <c r="E562" s="43"/>
    </row>
    <row r="563">
      <c r="A563" s="41"/>
      <c r="B563" s="42"/>
      <c r="E563" s="43"/>
    </row>
    <row r="564">
      <c r="A564" s="41"/>
      <c r="B564" s="42"/>
      <c r="E564" s="43"/>
    </row>
    <row r="565">
      <c r="A565" s="41"/>
      <c r="B565" s="42"/>
      <c r="E565" s="43"/>
    </row>
    <row r="566">
      <c r="A566" s="41"/>
      <c r="B566" s="42"/>
      <c r="E566" s="43"/>
    </row>
    <row r="567">
      <c r="A567" s="41"/>
      <c r="B567" s="42"/>
      <c r="E567" s="43"/>
    </row>
    <row r="568">
      <c r="A568" s="41"/>
      <c r="B568" s="42"/>
      <c r="E568" s="43"/>
    </row>
    <row r="569">
      <c r="A569" s="41"/>
      <c r="B569" s="42"/>
      <c r="E569" s="43"/>
    </row>
    <row r="570">
      <c r="A570" s="41"/>
      <c r="B570" s="42"/>
      <c r="E570" s="43"/>
    </row>
    <row r="571">
      <c r="A571" s="41"/>
      <c r="B571" s="42"/>
      <c r="E571" s="43"/>
    </row>
    <row r="572">
      <c r="A572" s="41"/>
      <c r="B572" s="42"/>
      <c r="E572" s="43"/>
    </row>
    <row r="573">
      <c r="A573" s="41"/>
      <c r="B573" s="42"/>
      <c r="E573" s="43"/>
    </row>
    <row r="574">
      <c r="A574" s="41"/>
      <c r="B574" s="42"/>
      <c r="E574" s="43"/>
    </row>
    <row r="575">
      <c r="A575" s="41"/>
      <c r="B575" s="42"/>
      <c r="E575" s="43"/>
    </row>
    <row r="576">
      <c r="A576" s="41"/>
      <c r="B576" s="42"/>
      <c r="E576" s="43"/>
    </row>
    <row r="577">
      <c r="A577" s="41"/>
      <c r="B577" s="42"/>
      <c r="E577" s="43"/>
    </row>
    <row r="578">
      <c r="A578" s="41"/>
      <c r="B578" s="42"/>
      <c r="E578" s="43"/>
    </row>
    <row r="579">
      <c r="A579" s="41"/>
      <c r="B579" s="42"/>
      <c r="E579" s="43"/>
    </row>
    <row r="580">
      <c r="A580" s="41"/>
      <c r="B580" s="42"/>
      <c r="E580" s="43"/>
    </row>
    <row r="581">
      <c r="A581" s="41"/>
      <c r="B581" s="42"/>
      <c r="E581" s="43"/>
    </row>
    <row r="582">
      <c r="A582" s="41"/>
      <c r="B582" s="42"/>
      <c r="E582" s="43"/>
    </row>
    <row r="583">
      <c r="A583" s="41"/>
      <c r="B583" s="42"/>
      <c r="E583" s="43"/>
    </row>
    <row r="584">
      <c r="A584" s="41"/>
      <c r="B584" s="42"/>
      <c r="E584" s="43"/>
    </row>
    <row r="585">
      <c r="A585" s="41"/>
      <c r="B585" s="42"/>
      <c r="E585" s="43"/>
    </row>
    <row r="586">
      <c r="A586" s="41"/>
      <c r="B586" s="42"/>
      <c r="E586" s="43"/>
    </row>
    <row r="587">
      <c r="A587" s="41"/>
      <c r="B587" s="42"/>
      <c r="E587" s="43"/>
    </row>
    <row r="588">
      <c r="A588" s="41"/>
      <c r="B588" s="42"/>
      <c r="E588" s="43"/>
    </row>
    <row r="589">
      <c r="A589" s="41"/>
      <c r="B589" s="42"/>
      <c r="E589" s="43"/>
    </row>
    <row r="590">
      <c r="A590" s="41"/>
      <c r="B590" s="42"/>
      <c r="E590" s="43"/>
    </row>
    <row r="591">
      <c r="A591" s="41"/>
      <c r="B591" s="42"/>
      <c r="E591" s="43"/>
    </row>
    <row r="592">
      <c r="A592" s="41"/>
      <c r="B592" s="42"/>
      <c r="E592" s="43"/>
    </row>
    <row r="593">
      <c r="A593" s="41"/>
      <c r="B593" s="42"/>
      <c r="E593" s="43"/>
    </row>
    <row r="594">
      <c r="A594" s="41"/>
      <c r="B594" s="42"/>
      <c r="E594" s="43"/>
    </row>
    <row r="595">
      <c r="A595" s="41"/>
      <c r="B595" s="42"/>
      <c r="E595" s="43"/>
    </row>
    <row r="596">
      <c r="A596" s="41"/>
      <c r="B596" s="42"/>
      <c r="E596" s="43"/>
    </row>
    <row r="597">
      <c r="A597" s="41"/>
      <c r="B597" s="42"/>
      <c r="E597" s="43"/>
    </row>
    <row r="598">
      <c r="A598" s="41"/>
      <c r="B598" s="42"/>
      <c r="E598" s="43"/>
    </row>
    <row r="599">
      <c r="A599" s="41"/>
      <c r="B599" s="42"/>
      <c r="E599" s="43"/>
    </row>
    <row r="600">
      <c r="A600" s="41"/>
      <c r="B600" s="42"/>
      <c r="E600" s="43"/>
    </row>
    <row r="601">
      <c r="A601" s="41"/>
      <c r="B601" s="42"/>
      <c r="E601" s="43"/>
    </row>
    <row r="602">
      <c r="A602" s="41"/>
      <c r="B602" s="42"/>
      <c r="E602" s="43"/>
    </row>
    <row r="603">
      <c r="A603" s="41"/>
      <c r="B603" s="42"/>
      <c r="E603" s="43"/>
    </row>
    <row r="604">
      <c r="A604" s="41"/>
      <c r="B604" s="42"/>
      <c r="E604" s="43"/>
    </row>
    <row r="605">
      <c r="A605" s="41"/>
      <c r="B605" s="42"/>
      <c r="E605" s="43"/>
    </row>
    <row r="606">
      <c r="A606" s="41"/>
      <c r="B606" s="42"/>
      <c r="E606" s="43"/>
    </row>
    <row r="607">
      <c r="A607" s="41"/>
      <c r="B607" s="42"/>
      <c r="E607" s="43"/>
    </row>
    <row r="608">
      <c r="A608" s="41"/>
      <c r="B608" s="42"/>
      <c r="E608" s="43"/>
    </row>
    <row r="609">
      <c r="A609" s="41"/>
      <c r="B609" s="42"/>
      <c r="E609" s="43"/>
    </row>
    <row r="610">
      <c r="A610" s="41"/>
      <c r="B610" s="42"/>
      <c r="E610" s="43"/>
    </row>
    <row r="611">
      <c r="A611" s="41"/>
      <c r="B611" s="42"/>
      <c r="E611" s="43"/>
    </row>
    <row r="612">
      <c r="A612" s="41"/>
      <c r="B612" s="42"/>
      <c r="E612" s="43"/>
    </row>
    <row r="613">
      <c r="A613" s="41"/>
      <c r="B613" s="42"/>
      <c r="E613" s="43"/>
    </row>
    <row r="614">
      <c r="A614" s="41"/>
      <c r="B614" s="42"/>
      <c r="E614" s="43"/>
    </row>
    <row r="615">
      <c r="A615" s="41"/>
      <c r="B615" s="42"/>
      <c r="E615" s="43"/>
    </row>
    <row r="616">
      <c r="A616" s="41"/>
      <c r="B616" s="42"/>
      <c r="E616" s="43"/>
    </row>
    <row r="617">
      <c r="A617" s="41"/>
      <c r="B617" s="42"/>
      <c r="E617" s="43"/>
    </row>
    <row r="618">
      <c r="A618" s="41"/>
      <c r="B618" s="42"/>
      <c r="E618" s="43"/>
    </row>
    <row r="619">
      <c r="A619" s="41"/>
      <c r="B619" s="42"/>
      <c r="E619" s="43"/>
    </row>
    <row r="620">
      <c r="A620" s="41"/>
      <c r="B620" s="42"/>
      <c r="E620" s="43"/>
    </row>
    <row r="621">
      <c r="A621" s="41"/>
      <c r="B621" s="42"/>
      <c r="E621" s="43"/>
    </row>
    <row r="622">
      <c r="A622" s="41"/>
      <c r="B622" s="42"/>
      <c r="E622" s="43"/>
    </row>
    <row r="623">
      <c r="A623" s="41"/>
      <c r="B623" s="42"/>
      <c r="E623" s="43"/>
    </row>
    <row r="624">
      <c r="A624" s="41"/>
      <c r="B624" s="42"/>
      <c r="E624" s="43"/>
    </row>
    <row r="625">
      <c r="A625" s="41"/>
      <c r="B625" s="42"/>
      <c r="E625" s="43"/>
    </row>
    <row r="626">
      <c r="A626" s="41"/>
      <c r="B626" s="42"/>
      <c r="E626" s="43"/>
    </row>
    <row r="627">
      <c r="A627" s="41"/>
      <c r="B627" s="42"/>
      <c r="E627" s="43"/>
    </row>
    <row r="628">
      <c r="A628" s="41"/>
      <c r="B628" s="42"/>
      <c r="E628" s="43"/>
    </row>
    <row r="629">
      <c r="A629" s="41"/>
      <c r="B629" s="42"/>
      <c r="E629" s="43"/>
    </row>
    <row r="630">
      <c r="A630" s="41"/>
      <c r="B630" s="42"/>
      <c r="E630" s="43"/>
    </row>
    <row r="631">
      <c r="A631" s="41"/>
      <c r="B631" s="42"/>
      <c r="E631" s="43"/>
    </row>
    <row r="632">
      <c r="A632" s="41"/>
      <c r="B632" s="42"/>
      <c r="E632" s="43"/>
    </row>
    <row r="633">
      <c r="A633" s="41"/>
      <c r="B633" s="42"/>
      <c r="E633" s="43"/>
    </row>
    <row r="634">
      <c r="A634" s="41"/>
      <c r="B634" s="42"/>
      <c r="E634" s="43"/>
    </row>
    <row r="635">
      <c r="A635" s="41"/>
      <c r="B635" s="42"/>
      <c r="E635" s="43"/>
    </row>
    <row r="636">
      <c r="A636" s="41"/>
      <c r="B636" s="42"/>
      <c r="E636" s="43"/>
    </row>
    <row r="637">
      <c r="A637" s="41"/>
      <c r="B637" s="42"/>
      <c r="E637" s="43"/>
    </row>
    <row r="638">
      <c r="A638" s="41"/>
      <c r="B638" s="42"/>
      <c r="E638" s="43"/>
    </row>
    <row r="639">
      <c r="A639" s="41"/>
      <c r="B639" s="42"/>
      <c r="E639" s="43"/>
    </row>
    <row r="640">
      <c r="A640" s="41"/>
      <c r="B640" s="42"/>
      <c r="E640" s="43"/>
    </row>
    <row r="641">
      <c r="A641" s="41"/>
      <c r="B641" s="42"/>
      <c r="E641" s="43"/>
    </row>
    <row r="642">
      <c r="A642" s="41"/>
      <c r="B642" s="42"/>
      <c r="E642" s="43"/>
    </row>
    <row r="643">
      <c r="A643" s="41"/>
      <c r="B643" s="42"/>
      <c r="E643" s="43"/>
    </row>
    <row r="644">
      <c r="A644" s="41"/>
      <c r="B644" s="42"/>
      <c r="E644" s="43"/>
    </row>
    <row r="645">
      <c r="A645" s="41"/>
      <c r="B645" s="42"/>
      <c r="E645" s="43"/>
    </row>
    <row r="646">
      <c r="A646" s="41"/>
      <c r="B646" s="42"/>
      <c r="E646" s="43"/>
    </row>
    <row r="647">
      <c r="A647" s="41"/>
      <c r="B647" s="42"/>
      <c r="E647" s="43"/>
    </row>
    <row r="648">
      <c r="A648" s="41"/>
      <c r="B648" s="42"/>
      <c r="E648" s="43"/>
    </row>
    <row r="649">
      <c r="A649" s="41"/>
      <c r="B649" s="42"/>
      <c r="E649" s="43"/>
    </row>
    <row r="650">
      <c r="A650" s="41"/>
      <c r="B650" s="42"/>
      <c r="E650" s="43"/>
    </row>
    <row r="651">
      <c r="A651" s="41"/>
      <c r="B651" s="42"/>
      <c r="E651" s="43"/>
    </row>
    <row r="652">
      <c r="A652" s="41"/>
      <c r="B652" s="42"/>
      <c r="E652" s="43"/>
    </row>
    <row r="653">
      <c r="A653" s="41"/>
      <c r="B653" s="42"/>
      <c r="E653" s="43"/>
    </row>
    <row r="654">
      <c r="A654" s="41"/>
      <c r="B654" s="42"/>
      <c r="E654" s="43"/>
    </row>
    <row r="655">
      <c r="A655" s="41"/>
      <c r="B655" s="42"/>
      <c r="E655" s="43"/>
    </row>
    <row r="656">
      <c r="A656" s="41"/>
      <c r="B656" s="42"/>
      <c r="E656" s="43"/>
    </row>
    <row r="657">
      <c r="A657" s="41"/>
      <c r="B657" s="42"/>
      <c r="E657" s="43"/>
    </row>
    <row r="658">
      <c r="A658" s="41"/>
      <c r="B658" s="42"/>
      <c r="E658" s="43"/>
    </row>
    <row r="659">
      <c r="A659" s="41"/>
      <c r="B659" s="42"/>
      <c r="E659" s="43"/>
    </row>
    <row r="660">
      <c r="A660" s="41"/>
      <c r="B660" s="42"/>
      <c r="E660" s="43"/>
    </row>
    <row r="661">
      <c r="A661" s="41"/>
      <c r="B661" s="42"/>
      <c r="E661" s="43"/>
    </row>
    <row r="662">
      <c r="A662" s="41"/>
      <c r="B662" s="42"/>
      <c r="E662" s="43"/>
    </row>
    <row r="663">
      <c r="A663" s="41"/>
      <c r="B663" s="42"/>
      <c r="E663" s="43"/>
    </row>
    <row r="664">
      <c r="A664" s="41"/>
      <c r="B664" s="42"/>
      <c r="E664" s="43"/>
    </row>
    <row r="665">
      <c r="A665" s="41"/>
      <c r="B665" s="42"/>
      <c r="E665" s="43"/>
    </row>
    <row r="666">
      <c r="A666" s="41"/>
      <c r="B666" s="42"/>
      <c r="E666" s="43"/>
    </row>
    <row r="667">
      <c r="A667" s="41"/>
      <c r="B667" s="42"/>
      <c r="E667" s="43"/>
    </row>
    <row r="668">
      <c r="A668" s="41"/>
      <c r="B668" s="42"/>
      <c r="E668" s="43"/>
    </row>
    <row r="669">
      <c r="A669" s="41"/>
      <c r="B669" s="42"/>
      <c r="E669" s="43"/>
    </row>
    <row r="670">
      <c r="A670" s="41"/>
      <c r="B670" s="42"/>
      <c r="E670" s="43"/>
    </row>
    <row r="671">
      <c r="A671" s="41"/>
      <c r="B671" s="42"/>
      <c r="E671" s="43"/>
    </row>
    <row r="672">
      <c r="A672" s="41"/>
      <c r="B672" s="42"/>
      <c r="E672" s="43"/>
    </row>
    <row r="673">
      <c r="A673" s="41"/>
      <c r="B673" s="42"/>
      <c r="E673" s="43"/>
    </row>
    <row r="674">
      <c r="A674" s="41"/>
      <c r="B674" s="42"/>
      <c r="E674" s="43"/>
    </row>
    <row r="675">
      <c r="A675" s="41"/>
      <c r="B675" s="42"/>
      <c r="E675" s="43"/>
    </row>
    <row r="676">
      <c r="A676" s="41"/>
      <c r="B676" s="42"/>
      <c r="E676" s="43"/>
    </row>
    <row r="677">
      <c r="A677" s="41"/>
      <c r="B677" s="42"/>
      <c r="E677" s="43"/>
    </row>
    <row r="678">
      <c r="A678" s="41"/>
      <c r="B678" s="42"/>
      <c r="E678" s="43"/>
    </row>
    <row r="679">
      <c r="A679" s="41"/>
      <c r="B679" s="42"/>
      <c r="E679" s="43"/>
    </row>
    <row r="680">
      <c r="A680" s="41"/>
      <c r="B680" s="42"/>
      <c r="E680" s="43"/>
    </row>
    <row r="681">
      <c r="A681" s="41"/>
      <c r="B681" s="42"/>
      <c r="E681" s="43"/>
    </row>
    <row r="682">
      <c r="A682" s="41"/>
      <c r="B682" s="42"/>
      <c r="E682" s="43"/>
    </row>
    <row r="683">
      <c r="A683" s="41"/>
      <c r="B683" s="42"/>
      <c r="E683" s="43"/>
    </row>
    <row r="684">
      <c r="A684" s="41"/>
      <c r="B684" s="42"/>
      <c r="E684" s="43"/>
    </row>
    <row r="685">
      <c r="A685" s="41"/>
      <c r="B685" s="42"/>
      <c r="E685" s="43"/>
    </row>
    <row r="686">
      <c r="A686" s="41"/>
      <c r="B686" s="42"/>
      <c r="E686" s="43"/>
    </row>
    <row r="687">
      <c r="A687" s="41"/>
      <c r="B687" s="42"/>
      <c r="E687" s="43"/>
    </row>
    <row r="688">
      <c r="A688" s="41"/>
      <c r="B688" s="42"/>
      <c r="E688" s="43"/>
    </row>
    <row r="689">
      <c r="A689" s="41"/>
      <c r="B689" s="42"/>
      <c r="E689" s="43"/>
    </row>
    <row r="690">
      <c r="A690" s="41"/>
      <c r="B690" s="42"/>
      <c r="E690" s="43"/>
    </row>
    <row r="691">
      <c r="A691" s="41"/>
      <c r="B691" s="42"/>
      <c r="E691" s="43"/>
    </row>
    <row r="692">
      <c r="A692" s="41"/>
      <c r="B692" s="42"/>
      <c r="E692" s="43"/>
    </row>
    <row r="693">
      <c r="A693" s="41"/>
      <c r="B693" s="42"/>
      <c r="E693" s="43"/>
    </row>
    <row r="694">
      <c r="A694" s="41"/>
      <c r="B694" s="42"/>
      <c r="E694" s="43"/>
    </row>
    <row r="695">
      <c r="A695" s="41"/>
      <c r="B695" s="42"/>
      <c r="E695" s="43"/>
    </row>
    <row r="696">
      <c r="A696" s="41"/>
      <c r="B696" s="42"/>
      <c r="E696" s="43"/>
    </row>
    <row r="697">
      <c r="A697" s="41"/>
      <c r="B697" s="42"/>
      <c r="E697" s="43"/>
    </row>
    <row r="698">
      <c r="A698" s="41"/>
      <c r="B698" s="42"/>
      <c r="E698" s="43"/>
    </row>
    <row r="699">
      <c r="A699" s="41"/>
      <c r="B699" s="42"/>
      <c r="E699" s="43"/>
    </row>
    <row r="700">
      <c r="A700" s="41"/>
      <c r="B700" s="42"/>
      <c r="E700" s="43"/>
    </row>
    <row r="701">
      <c r="A701" s="41"/>
      <c r="B701" s="42"/>
      <c r="E701" s="43"/>
    </row>
    <row r="702">
      <c r="A702" s="41"/>
      <c r="B702" s="42"/>
      <c r="E702" s="43"/>
    </row>
    <row r="703">
      <c r="A703" s="41"/>
      <c r="B703" s="42"/>
      <c r="E703" s="43"/>
    </row>
    <row r="704">
      <c r="A704" s="41"/>
      <c r="B704" s="42"/>
      <c r="E704" s="43"/>
    </row>
    <row r="705">
      <c r="A705" s="41"/>
      <c r="B705" s="42"/>
      <c r="E705" s="43"/>
    </row>
    <row r="706">
      <c r="A706" s="41"/>
      <c r="B706" s="42"/>
      <c r="E706" s="43"/>
    </row>
    <row r="707">
      <c r="A707" s="41"/>
      <c r="B707" s="42"/>
      <c r="E707" s="43"/>
    </row>
    <row r="708">
      <c r="A708" s="41"/>
      <c r="B708" s="42"/>
      <c r="E708" s="43"/>
    </row>
    <row r="709">
      <c r="A709" s="41"/>
      <c r="B709" s="42"/>
      <c r="E709" s="43"/>
    </row>
    <row r="710">
      <c r="A710" s="41"/>
      <c r="B710" s="42"/>
      <c r="E710" s="43"/>
    </row>
    <row r="711">
      <c r="A711" s="41"/>
      <c r="B711" s="42"/>
      <c r="E711" s="43"/>
    </row>
    <row r="712">
      <c r="A712" s="41"/>
      <c r="B712" s="42"/>
      <c r="E712" s="43"/>
    </row>
    <row r="713">
      <c r="A713" s="41"/>
      <c r="B713" s="42"/>
      <c r="E713" s="43"/>
    </row>
    <row r="714">
      <c r="A714" s="41"/>
      <c r="B714" s="42"/>
      <c r="E714" s="43"/>
    </row>
    <row r="715">
      <c r="A715" s="41"/>
      <c r="B715" s="42"/>
      <c r="E715" s="43"/>
    </row>
    <row r="716">
      <c r="A716" s="41"/>
      <c r="B716" s="42"/>
      <c r="E716" s="43"/>
    </row>
    <row r="717">
      <c r="A717" s="41"/>
      <c r="B717" s="42"/>
      <c r="E717" s="43"/>
    </row>
    <row r="718">
      <c r="A718" s="41"/>
      <c r="B718" s="42"/>
      <c r="E718" s="43"/>
    </row>
    <row r="719">
      <c r="A719" s="41"/>
      <c r="B719" s="42"/>
      <c r="E719" s="43"/>
    </row>
    <row r="720">
      <c r="A720" s="41"/>
      <c r="B720" s="42"/>
      <c r="E720" s="43"/>
    </row>
    <row r="721">
      <c r="A721" s="41"/>
      <c r="B721" s="42"/>
      <c r="E721" s="43"/>
    </row>
    <row r="722">
      <c r="A722" s="41"/>
      <c r="B722" s="42"/>
      <c r="E722" s="43"/>
    </row>
    <row r="723">
      <c r="A723" s="41"/>
      <c r="B723" s="42"/>
      <c r="E723" s="43"/>
    </row>
    <row r="724">
      <c r="A724" s="41"/>
      <c r="B724" s="42"/>
      <c r="E724" s="43"/>
    </row>
    <row r="725">
      <c r="A725" s="41"/>
      <c r="B725" s="42"/>
      <c r="E725" s="43"/>
    </row>
    <row r="726">
      <c r="A726" s="41"/>
      <c r="B726" s="42"/>
      <c r="E726" s="43"/>
    </row>
    <row r="727">
      <c r="A727" s="41"/>
      <c r="B727" s="42"/>
      <c r="E727" s="43"/>
    </row>
    <row r="728">
      <c r="A728" s="41"/>
      <c r="B728" s="42"/>
      <c r="E728" s="43"/>
    </row>
    <row r="729">
      <c r="A729" s="41"/>
      <c r="B729" s="42"/>
      <c r="E729" s="43"/>
    </row>
    <row r="730">
      <c r="A730" s="41"/>
      <c r="B730" s="42"/>
      <c r="E730" s="43"/>
    </row>
    <row r="731">
      <c r="A731" s="41"/>
      <c r="B731" s="42"/>
      <c r="E731" s="43"/>
    </row>
    <row r="732">
      <c r="A732" s="41"/>
      <c r="B732" s="42"/>
      <c r="E732" s="43"/>
    </row>
    <row r="733">
      <c r="A733" s="41"/>
      <c r="B733" s="42"/>
      <c r="E733" s="43"/>
    </row>
    <row r="734">
      <c r="A734" s="41"/>
      <c r="B734" s="42"/>
      <c r="E734" s="43"/>
    </row>
    <row r="735">
      <c r="A735" s="41"/>
      <c r="B735" s="42"/>
      <c r="E735" s="43"/>
    </row>
    <row r="736">
      <c r="A736" s="41"/>
      <c r="B736" s="42"/>
      <c r="E736" s="43"/>
    </row>
    <row r="737">
      <c r="A737" s="41"/>
      <c r="B737" s="42"/>
      <c r="E737" s="43"/>
    </row>
    <row r="738">
      <c r="A738" s="41"/>
      <c r="B738" s="42"/>
      <c r="E738" s="43"/>
    </row>
    <row r="739">
      <c r="A739" s="41"/>
      <c r="B739" s="42"/>
      <c r="E739" s="43"/>
    </row>
    <row r="740">
      <c r="A740" s="41"/>
      <c r="B740" s="42"/>
      <c r="E740" s="43"/>
    </row>
    <row r="741">
      <c r="A741" s="41"/>
      <c r="B741" s="42"/>
      <c r="E741" s="43"/>
    </row>
    <row r="742">
      <c r="A742" s="41"/>
      <c r="B742" s="42"/>
      <c r="E742" s="43"/>
    </row>
    <row r="743">
      <c r="A743" s="41"/>
      <c r="B743" s="42"/>
      <c r="E743" s="43"/>
    </row>
    <row r="744">
      <c r="A744" s="41"/>
      <c r="B744" s="42"/>
      <c r="E744" s="43"/>
    </row>
    <row r="745">
      <c r="A745" s="41"/>
      <c r="B745" s="42"/>
      <c r="E745" s="43"/>
    </row>
    <row r="746">
      <c r="A746" s="41"/>
      <c r="B746" s="42"/>
      <c r="E746" s="43"/>
    </row>
    <row r="747">
      <c r="A747" s="41"/>
      <c r="B747" s="42"/>
      <c r="E747" s="43"/>
    </row>
    <row r="748">
      <c r="A748" s="41"/>
      <c r="B748" s="42"/>
      <c r="E748" s="43"/>
    </row>
    <row r="749">
      <c r="A749" s="41"/>
      <c r="B749" s="42"/>
      <c r="E749" s="43"/>
    </row>
    <row r="750">
      <c r="A750" s="41"/>
      <c r="B750" s="42"/>
      <c r="E750" s="43"/>
    </row>
    <row r="751">
      <c r="A751" s="41"/>
      <c r="B751" s="42"/>
      <c r="E751" s="43"/>
    </row>
    <row r="752">
      <c r="A752" s="41"/>
      <c r="B752" s="42"/>
      <c r="E752" s="43"/>
    </row>
    <row r="753">
      <c r="A753" s="41"/>
      <c r="B753" s="42"/>
      <c r="E753" s="43"/>
    </row>
    <row r="754">
      <c r="A754" s="41"/>
      <c r="B754" s="42"/>
      <c r="E754" s="43"/>
    </row>
    <row r="755">
      <c r="A755" s="41"/>
      <c r="B755" s="42"/>
      <c r="E755" s="43"/>
    </row>
    <row r="756">
      <c r="A756" s="41"/>
      <c r="B756" s="42"/>
      <c r="E756" s="43"/>
    </row>
    <row r="757">
      <c r="A757" s="41"/>
      <c r="B757" s="42"/>
      <c r="E757" s="43"/>
    </row>
    <row r="758">
      <c r="A758" s="41"/>
      <c r="B758" s="42"/>
      <c r="E758" s="43"/>
    </row>
    <row r="759">
      <c r="A759" s="41"/>
      <c r="B759" s="42"/>
      <c r="E759" s="43"/>
    </row>
    <row r="760">
      <c r="A760" s="41"/>
      <c r="B760" s="42"/>
      <c r="E760" s="43"/>
    </row>
    <row r="761">
      <c r="A761" s="41"/>
      <c r="B761" s="42"/>
      <c r="E761" s="43"/>
    </row>
    <row r="762">
      <c r="A762" s="41"/>
      <c r="B762" s="42"/>
      <c r="E762" s="43"/>
    </row>
    <row r="763">
      <c r="A763" s="41"/>
      <c r="B763" s="42"/>
      <c r="E763" s="43"/>
    </row>
    <row r="764">
      <c r="A764" s="41"/>
      <c r="B764" s="42"/>
      <c r="E764" s="43"/>
    </row>
    <row r="765">
      <c r="A765" s="41"/>
      <c r="B765" s="42"/>
      <c r="E765" s="43"/>
    </row>
    <row r="766">
      <c r="A766" s="41"/>
      <c r="B766" s="42"/>
      <c r="E766" s="43"/>
    </row>
    <row r="767">
      <c r="A767" s="41"/>
      <c r="B767" s="42"/>
      <c r="E767" s="43"/>
    </row>
    <row r="768">
      <c r="A768" s="41"/>
      <c r="B768" s="42"/>
      <c r="E768" s="43"/>
    </row>
    <row r="769">
      <c r="A769" s="41"/>
      <c r="B769" s="42"/>
      <c r="E769" s="43"/>
    </row>
    <row r="770">
      <c r="A770" s="41"/>
      <c r="B770" s="42"/>
      <c r="E770" s="43"/>
    </row>
    <row r="771">
      <c r="A771" s="41"/>
      <c r="B771" s="42"/>
      <c r="E771" s="43"/>
    </row>
    <row r="772">
      <c r="A772" s="41"/>
      <c r="B772" s="42"/>
      <c r="E772" s="43"/>
    </row>
    <row r="773">
      <c r="A773" s="41"/>
      <c r="B773" s="42"/>
      <c r="E773" s="43"/>
    </row>
    <row r="774">
      <c r="A774" s="41"/>
      <c r="B774" s="42"/>
      <c r="E774" s="43"/>
    </row>
    <row r="775">
      <c r="A775" s="41"/>
      <c r="B775" s="42"/>
      <c r="E775" s="43"/>
    </row>
    <row r="776">
      <c r="A776" s="41"/>
      <c r="B776" s="42"/>
      <c r="E776" s="43"/>
    </row>
    <row r="777">
      <c r="A777" s="41"/>
      <c r="B777" s="42"/>
      <c r="E777" s="43"/>
    </row>
    <row r="778">
      <c r="A778" s="41"/>
      <c r="B778" s="42"/>
      <c r="E778" s="43"/>
    </row>
    <row r="779">
      <c r="A779" s="41"/>
      <c r="B779" s="42"/>
      <c r="E779" s="43"/>
    </row>
    <row r="780">
      <c r="A780" s="41"/>
      <c r="B780" s="42"/>
      <c r="E780" s="43"/>
    </row>
    <row r="781">
      <c r="A781" s="41"/>
      <c r="B781" s="42"/>
      <c r="E781" s="43"/>
    </row>
    <row r="782">
      <c r="A782" s="41"/>
      <c r="B782" s="42"/>
      <c r="E782" s="43"/>
    </row>
    <row r="783">
      <c r="A783" s="41"/>
      <c r="B783" s="42"/>
      <c r="E783" s="43"/>
    </row>
    <row r="784">
      <c r="A784" s="41"/>
      <c r="B784" s="42"/>
      <c r="E784" s="43"/>
    </row>
    <row r="785">
      <c r="A785" s="41"/>
      <c r="B785" s="42"/>
      <c r="E785" s="43"/>
    </row>
    <row r="786">
      <c r="A786" s="41"/>
      <c r="B786" s="42"/>
      <c r="E786" s="43"/>
    </row>
    <row r="787">
      <c r="A787" s="41"/>
      <c r="B787" s="42"/>
      <c r="E787" s="43"/>
    </row>
    <row r="788">
      <c r="A788" s="41"/>
      <c r="B788" s="42"/>
      <c r="E788" s="43"/>
    </row>
    <row r="789">
      <c r="A789" s="41"/>
      <c r="B789" s="42"/>
      <c r="E789" s="43"/>
    </row>
    <row r="790">
      <c r="A790" s="41"/>
      <c r="B790" s="42"/>
      <c r="E790" s="43"/>
    </row>
    <row r="791">
      <c r="A791" s="41"/>
      <c r="B791" s="42"/>
      <c r="E791" s="43"/>
    </row>
    <row r="792">
      <c r="A792" s="41"/>
      <c r="B792" s="42"/>
      <c r="E792" s="43"/>
    </row>
    <row r="793">
      <c r="A793" s="41"/>
      <c r="B793" s="42"/>
      <c r="E793" s="43"/>
    </row>
    <row r="794">
      <c r="A794" s="41"/>
      <c r="B794" s="42"/>
      <c r="E794" s="43"/>
    </row>
    <row r="795">
      <c r="A795" s="41"/>
      <c r="B795" s="42"/>
      <c r="E795" s="43"/>
    </row>
    <row r="796">
      <c r="A796" s="41"/>
      <c r="B796" s="42"/>
      <c r="E796" s="43"/>
    </row>
    <row r="797">
      <c r="A797" s="41"/>
      <c r="B797" s="42"/>
      <c r="E797" s="43"/>
    </row>
    <row r="798">
      <c r="A798" s="41"/>
      <c r="B798" s="42"/>
      <c r="E798" s="43"/>
    </row>
    <row r="799">
      <c r="A799" s="41"/>
      <c r="B799" s="42"/>
      <c r="E799" s="43"/>
    </row>
    <row r="800">
      <c r="A800" s="41"/>
      <c r="B800" s="42"/>
      <c r="E800" s="43"/>
    </row>
    <row r="801">
      <c r="A801" s="41"/>
      <c r="B801" s="42"/>
      <c r="E801" s="43"/>
    </row>
    <row r="802">
      <c r="A802" s="41"/>
      <c r="B802" s="42"/>
      <c r="E802" s="43"/>
    </row>
    <row r="803">
      <c r="A803" s="41"/>
      <c r="B803" s="42"/>
      <c r="E803" s="43"/>
    </row>
    <row r="804">
      <c r="A804" s="41"/>
      <c r="B804" s="42"/>
      <c r="E804" s="43"/>
    </row>
    <row r="805">
      <c r="A805" s="41"/>
      <c r="B805" s="42"/>
      <c r="E805" s="43"/>
    </row>
    <row r="806">
      <c r="A806" s="41"/>
      <c r="B806" s="42"/>
      <c r="E806" s="43"/>
    </row>
    <row r="807">
      <c r="A807" s="41"/>
      <c r="B807" s="42"/>
      <c r="E807" s="43"/>
    </row>
    <row r="808">
      <c r="A808" s="41"/>
      <c r="B808" s="42"/>
      <c r="E808" s="43"/>
    </row>
    <row r="809">
      <c r="A809" s="41"/>
      <c r="B809" s="42"/>
      <c r="E809" s="43"/>
    </row>
    <row r="810">
      <c r="A810" s="41"/>
      <c r="B810" s="42"/>
      <c r="E810" s="43"/>
    </row>
    <row r="811">
      <c r="A811" s="41"/>
      <c r="B811" s="42"/>
      <c r="E811" s="43"/>
    </row>
    <row r="812">
      <c r="A812" s="41"/>
      <c r="B812" s="42"/>
      <c r="E812" s="43"/>
    </row>
    <row r="813">
      <c r="A813" s="41"/>
      <c r="B813" s="42"/>
      <c r="E813" s="43"/>
    </row>
    <row r="814">
      <c r="A814" s="41"/>
      <c r="B814" s="42"/>
      <c r="E814" s="43"/>
    </row>
    <row r="815">
      <c r="A815" s="41"/>
      <c r="B815" s="42"/>
      <c r="E815" s="43"/>
    </row>
    <row r="816">
      <c r="A816" s="41"/>
      <c r="B816" s="42"/>
      <c r="E816" s="43"/>
    </row>
    <row r="817">
      <c r="A817" s="41"/>
      <c r="B817" s="42"/>
      <c r="E817" s="43"/>
    </row>
    <row r="818">
      <c r="A818" s="41"/>
      <c r="B818" s="42"/>
      <c r="E818" s="43"/>
    </row>
    <row r="819">
      <c r="A819" s="41"/>
      <c r="B819" s="42"/>
      <c r="E819" s="43"/>
    </row>
    <row r="820">
      <c r="A820" s="41"/>
      <c r="B820" s="42"/>
      <c r="E820" s="43"/>
    </row>
    <row r="821">
      <c r="A821" s="41"/>
      <c r="B821" s="42"/>
      <c r="E821" s="43"/>
    </row>
    <row r="822">
      <c r="A822" s="41"/>
      <c r="B822" s="42"/>
      <c r="E822" s="43"/>
    </row>
    <row r="823">
      <c r="A823" s="41"/>
      <c r="B823" s="42"/>
      <c r="E823" s="43"/>
    </row>
    <row r="824">
      <c r="A824" s="41"/>
      <c r="B824" s="42"/>
      <c r="E824" s="43"/>
    </row>
    <row r="825">
      <c r="A825" s="41"/>
      <c r="B825" s="42"/>
      <c r="E825" s="43"/>
    </row>
    <row r="826">
      <c r="A826" s="41"/>
      <c r="B826" s="42"/>
      <c r="E826" s="43"/>
    </row>
    <row r="827">
      <c r="A827" s="41"/>
      <c r="B827" s="42"/>
      <c r="E827" s="43"/>
    </row>
    <row r="828">
      <c r="A828" s="41"/>
      <c r="B828" s="42"/>
      <c r="E828" s="43"/>
    </row>
    <row r="829">
      <c r="A829" s="41"/>
      <c r="B829" s="42"/>
      <c r="E829" s="43"/>
    </row>
    <row r="830">
      <c r="A830" s="41"/>
      <c r="B830" s="42"/>
      <c r="E830" s="43"/>
    </row>
    <row r="831">
      <c r="A831" s="41"/>
      <c r="B831" s="42"/>
      <c r="E831" s="43"/>
    </row>
    <row r="832">
      <c r="A832" s="41"/>
      <c r="B832" s="42"/>
      <c r="E832" s="43"/>
    </row>
    <row r="833">
      <c r="A833" s="41"/>
      <c r="B833" s="42"/>
      <c r="E833" s="43"/>
    </row>
    <row r="834">
      <c r="A834" s="41"/>
      <c r="B834" s="42"/>
      <c r="E834" s="43"/>
    </row>
    <row r="835">
      <c r="A835" s="41"/>
      <c r="B835" s="42"/>
      <c r="E835" s="43"/>
    </row>
    <row r="836">
      <c r="A836" s="41"/>
      <c r="B836" s="42"/>
      <c r="E836" s="43"/>
    </row>
    <row r="837">
      <c r="A837" s="41"/>
      <c r="B837" s="42"/>
      <c r="E837" s="43"/>
    </row>
    <row r="838">
      <c r="A838" s="41"/>
      <c r="B838" s="42"/>
      <c r="E838" s="43"/>
    </row>
    <row r="839">
      <c r="A839" s="41"/>
      <c r="B839" s="42"/>
      <c r="E839" s="43"/>
    </row>
    <row r="840">
      <c r="A840" s="41"/>
      <c r="B840" s="42"/>
      <c r="E840" s="43"/>
    </row>
    <row r="841">
      <c r="A841" s="41"/>
      <c r="B841" s="42"/>
      <c r="E841" s="43"/>
    </row>
    <row r="842">
      <c r="A842" s="41"/>
      <c r="B842" s="42"/>
      <c r="E842" s="43"/>
    </row>
    <row r="843">
      <c r="A843" s="41"/>
      <c r="B843" s="42"/>
      <c r="E843" s="43"/>
    </row>
    <row r="844">
      <c r="A844" s="41"/>
      <c r="B844" s="42"/>
      <c r="E844" s="43"/>
    </row>
    <row r="845">
      <c r="A845" s="41"/>
      <c r="B845" s="42"/>
      <c r="E845" s="43"/>
    </row>
    <row r="846">
      <c r="A846" s="41"/>
      <c r="B846" s="42"/>
      <c r="E846" s="43"/>
    </row>
    <row r="847">
      <c r="A847" s="41"/>
      <c r="B847" s="42"/>
      <c r="E847" s="43"/>
    </row>
    <row r="848">
      <c r="A848" s="41"/>
      <c r="B848" s="42"/>
      <c r="E848" s="43"/>
    </row>
    <row r="849">
      <c r="A849" s="41"/>
      <c r="B849" s="42"/>
      <c r="E849" s="43"/>
    </row>
    <row r="850">
      <c r="A850" s="41"/>
      <c r="B850" s="42"/>
      <c r="E850" s="43"/>
    </row>
    <row r="851">
      <c r="A851" s="41"/>
      <c r="B851" s="42"/>
      <c r="E851" s="43"/>
    </row>
    <row r="852">
      <c r="A852" s="41"/>
      <c r="B852" s="42"/>
      <c r="E852" s="43"/>
    </row>
    <row r="853">
      <c r="A853" s="41"/>
      <c r="B853" s="42"/>
      <c r="E853" s="43"/>
    </row>
    <row r="854">
      <c r="A854" s="41"/>
      <c r="B854" s="42"/>
      <c r="E854" s="43"/>
    </row>
    <row r="855">
      <c r="A855" s="41"/>
      <c r="B855" s="42"/>
      <c r="E855" s="43"/>
    </row>
    <row r="856">
      <c r="A856" s="41"/>
      <c r="B856" s="42"/>
      <c r="E856" s="43"/>
    </row>
    <row r="857">
      <c r="A857" s="41"/>
      <c r="B857" s="42"/>
      <c r="E857" s="43"/>
    </row>
    <row r="858">
      <c r="A858" s="41"/>
      <c r="B858" s="42"/>
      <c r="E858" s="43"/>
    </row>
    <row r="859">
      <c r="A859" s="41"/>
      <c r="B859" s="42"/>
      <c r="E859" s="43"/>
    </row>
    <row r="860">
      <c r="A860" s="41"/>
      <c r="B860" s="42"/>
      <c r="E860" s="43"/>
    </row>
    <row r="861">
      <c r="A861" s="41"/>
      <c r="B861" s="42"/>
      <c r="E861" s="43"/>
    </row>
    <row r="862">
      <c r="A862" s="41"/>
      <c r="B862" s="42"/>
      <c r="E862" s="43"/>
    </row>
    <row r="863">
      <c r="A863" s="41"/>
      <c r="B863" s="42"/>
      <c r="E863" s="43"/>
    </row>
    <row r="864">
      <c r="A864" s="41"/>
      <c r="B864" s="42"/>
      <c r="E864" s="43"/>
    </row>
    <row r="865">
      <c r="A865" s="41"/>
      <c r="B865" s="42"/>
      <c r="E865" s="43"/>
    </row>
    <row r="866">
      <c r="A866" s="41"/>
      <c r="B866" s="42"/>
      <c r="E866" s="43"/>
    </row>
    <row r="867">
      <c r="A867" s="41"/>
      <c r="B867" s="42"/>
      <c r="E867" s="43"/>
    </row>
    <row r="868">
      <c r="A868" s="41"/>
      <c r="B868" s="42"/>
      <c r="E868" s="43"/>
    </row>
    <row r="869">
      <c r="A869" s="41"/>
      <c r="B869" s="42"/>
      <c r="E869" s="43"/>
    </row>
    <row r="870">
      <c r="A870" s="41"/>
      <c r="B870" s="42"/>
      <c r="E870" s="43"/>
    </row>
    <row r="871">
      <c r="A871" s="41"/>
      <c r="B871" s="42"/>
      <c r="E871" s="43"/>
    </row>
    <row r="872">
      <c r="A872" s="41"/>
      <c r="B872" s="42"/>
      <c r="E872" s="43"/>
    </row>
    <row r="873">
      <c r="A873" s="41"/>
      <c r="B873" s="42"/>
      <c r="E873" s="43"/>
    </row>
    <row r="874">
      <c r="A874" s="41"/>
      <c r="B874" s="42"/>
      <c r="E874" s="43"/>
    </row>
    <row r="875">
      <c r="A875" s="41"/>
      <c r="B875" s="42"/>
      <c r="E875" s="43"/>
    </row>
    <row r="876">
      <c r="A876" s="41"/>
      <c r="B876" s="42"/>
      <c r="E876" s="43"/>
    </row>
    <row r="877">
      <c r="A877" s="41"/>
      <c r="B877" s="42"/>
      <c r="E877" s="43"/>
    </row>
    <row r="878">
      <c r="A878" s="41"/>
      <c r="B878" s="42"/>
      <c r="E878" s="43"/>
    </row>
    <row r="879">
      <c r="A879" s="41"/>
      <c r="B879" s="42"/>
      <c r="E879" s="43"/>
    </row>
    <row r="880">
      <c r="A880" s="41"/>
      <c r="B880" s="42"/>
      <c r="E880" s="43"/>
    </row>
    <row r="881">
      <c r="A881" s="41"/>
      <c r="B881" s="42"/>
      <c r="E881" s="43"/>
    </row>
    <row r="882">
      <c r="A882" s="41"/>
      <c r="B882" s="42"/>
      <c r="E882" s="43"/>
    </row>
    <row r="883">
      <c r="A883" s="41"/>
      <c r="B883" s="42"/>
      <c r="E883" s="43"/>
    </row>
    <row r="884">
      <c r="A884" s="41"/>
      <c r="B884" s="42"/>
      <c r="E884" s="43"/>
    </row>
    <row r="885">
      <c r="A885" s="41"/>
      <c r="B885" s="42"/>
      <c r="E885" s="43"/>
    </row>
    <row r="886">
      <c r="A886" s="41"/>
      <c r="B886" s="42"/>
      <c r="E886" s="43"/>
    </row>
    <row r="887">
      <c r="A887" s="41"/>
      <c r="B887" s="42"/>
      <c r="E887" s="43"/>
    </row>
    <row r="888">
      <c r="A888" s="41"/>
      <c r="B888" s="42"/>
      <c r="E888" s="43"/>
    </row>
    <row r="889">
      <c r="A889" s="41"/>
      <c r="B889" s="42"/>
      <c r="E889" s="43"/>
    </row>
    <row r="890">
      <c r="A890" s="41"/>
      <c r="B890" s="42"/>
      <c r="E890" s="43"/>
    </row>
    <row r="891">
      <c r="A891" s="41"/>
      <c r="B891" s="42"/>
      <c r="E891" s="43"/>
    </row>
    <row r="892">
      <c r="A892" s="41"/>
      <c r="B892" s="42"/>
      <c r="E892" s="43"/>
    </row>
    <row r="893">
      <c r="A893" s="41"/>
      <c r="B893" s="42"/>
      <c r="E893" s="43"/>
    </row>
    <row r="894">
      <c r="A894" s="41"/>
      <c r="B894" s="42"/>
      <c r="E894" s="43"/>
    </row>
    <row r="895">
      <c r="A895" s="41"/>
      <c r="B895" s="42"/>
      <c r="E895" s="43"/>
    </row>
    <row r="896">
      <c r="A896" s="41"/>
      <c r="B896" s="42"/>
      <c r="E896" s="43"/>
    </row>
    <row r="897">
      <c r="A897" s="41"/>
      <c r="B897" s="42"/>
      <c r="E897" s="43"/>
    </row>
    <row r="898">
      <c r="A898" s="41"/>
      <c r="B898" s="42"/>
      <c r="E898" s="43"/>
    </row>
    <row r="899">
      <c r="A899" s="41"/>
      <c r="B899" s="42"/>
      <c r="E899" s="43"/>
    </row>
    <row r="900">
      <c r="A900" s="41"/>
      <c r="B900" s="42"/>
      <c r="E900" s="43"/>
    </row>
    <row r="901">
      <c r="A901" s="41"/>
      <c r="B901" s="42"/>
      <c r="E901" s="43"/>
    </row>
    <row r="902">
      <c r="A902" s="41"/>
      <c r="B902" s="42"/>
      <c r="E902" s="43"/>
    </row>
    <row r="903">
      <c r="A903" s="41"/>
      <c r="B903" s="42"/>
      <c r="E903" s="43"/>
    </row>
    <row r="904">
      <c r="A904" s="41"/>
      <c r="B904" s="42"/>
      <c r="E904" s="43"/>
    </row>
    <row r="905">
      <c r="A905" s="41"/>
      <c r="B905" s="42"/>
      <c r="E905" s="43"/>
    </row>
    <row r="906">
      <c r="A906" s="41"/>
      <c r="B906" s="42"/>
      <c r="E906" s="43"/>
    </row>
    <row r="907">
      <c r="A907" s="41"/>
      <c r="B907" s="42"/>
      <c r="E907" s="43"/>
    </row>
    <row r="908">
      <c r="A908" s="41"/>
      <c r="B908" s="42"/>
      <c r="E908" s="43"/>
    </row>
    <row r="909">
      <c r="A909" s="41"/>
      <c r="B909" s="42"/>
      <c r="E909" s="43"/>
    </row>
    <row r="910">
      <c r="A910" s="41"/>
      <c r="B910" s="42"/>
      <c r="E910" s="43"/>
    </row>
    <row r="911">
      <c r="A911" s="41"/>
      <c r="B911" s="42"/>
      <c r="E911" s="43"/>
    </row>
    <row r="912">
      <c r="A912" s="41"/>
      <c r="B912" s="42"/>
      <c r="E912" s="43"/>
    </row>
    <row r="913">
      <c r="A913" s="41"/>
      <c r="B913" s="42"/>
      <c r="E913" s="43"/>
    </row>
    <row r="914">
      <c r="A914" s="41"/>
      <c r="B914" s="42"/>
      <c r="E914" s="43"/>
    </row>
    <row r="915">
      <c r="A915" s="41"/>
      <c r="B915" s="42"/>
      <c r="E915" s="43"/>
    </row>
    <row r="916">
      <c r="A916" s="41"/>
      <c r="B916" s="42"/>
      <c r="E916" s="43"/>
    </row>
    <row r="917">
      <c r="A917" s="41"/>
      <c r="B917" s="42"/>
      <c r="E917" s="43"/>
    </row>
    <row r="918">
      <c r="A918" s="41"/>
      <c r="B918" s="42"/>
      <c r="E918" s="43"/>
    </row>
    <row r="919">
      <c r="A919" s="41"/>
      <c r="B919" s="42"/>
      <c r="E919" s="43"/>
    </row>
    <row r="920">
      <c r="A920" s="41"/>
      <c r="B920" s="42"/>
      <c r="E920" s="43"/>
    </row>
    <row r="921">
      <c r="A921" s="41"/>
      <c r="B921" s="42"/>
      <c r="E921" s="43"/>
    </row>
    <row r="922">
      <c r="A922" s="41"/>
      <c r="B922" s="42"/>
      <c r="E922" s="43"/>
    </row>
    <row r="923">
      <c r="A923" s="41"/>
      <c r="B923" s="42"/>
      <c r="E923" s="43"/>
    </row>
    <row r="924">
      <c r="A924" s="41"/>
      <c r="B924" s="42"/>
      <c r="E924" s="43"/>
    </row>
    <row r="925">
      <c r="A925" s="41"/>
      <c r="B925" s="42"/>
      <c r="E925" s="43"/>
    </row>
    <row r="926">
      <c r="A926" s="41"/>
      <c r="B926" s="42"/>
      <c r="E926" s="43"/>
    </row>
    <row r="927">
      <c r="A927" s="41"/>
      <c r="B927" s="42"/>
      <c r="E927" s="43"/>
    </row>
    <row r="928">
      <c r="A928" s="41"/>
      <c r="B928" s="42"/>
      <c r="E928" s="43"/>
    </row>
    <row r="929">
      <c r="A929" s="41"/>
      <c r="B929" s="42"/>
      <c r="E929" s="43"/>
    </row>
    <row r="930">
      <c r="A930" s="41"/>
      <c r="B930" s="42"/>
      <c r="E930" s="43"/>
    </row>
    <row r="931">
      <c r="A931" s="41"/>
      <c r="B931" s="42"/>
      <c r="E931" s="43"/>
    </row>
    <row r="932">
      <c r="A932" s="41"/>
      <c r="B932" s="42"/>
      <c r="E932" s="43"/>
    </row>
    <row r="933">
      <c r="A933" s="41"/>
      <c r="B933" s="42"/>
      <c r="E933" s="43"/>
    </row>
    <row r="934">
      <c r="A934" s="41"/>
      <c r="B934" s="42"/>
      <c r="E934" s="43"/>
    </row>
    <row r="935">
      <c r="A935" s="41"/>
      <c r="B935" s="42"/>
      <c r="E935" s="43"/>
    </row>
    <row r="936">
      <c r="A936" s="41"/>
      <c r="B936" s="42"/>
      <c r="E936" s="43"/>
    </row>
    <row r="937">
      <c r="A937" s="41"/>
      <c r="B937" s="42"/>
      <c r="E937" s="43"/>
    </row>
    <row r="938">
      <c r="A938" s="41"/>
      <c r="B938" s="42"/>
      <c r="E938" s="43"/>
    </row>
    <row r="939">
      <c r="A939" s="41"/>
      <c r="B939" s="42"/>
      <c r="E939" s="43"/>
    </row>
    <row r="940">
      <c r="A940" s="41"/>
      <c r="B940" s="42"/>
      <c r="E940" s="43"/>
    </row>
    <row r="941">
      <c r="A941" s="41"/>
      <c r="B941" s="42"/>
      <c r="E941" s="43"/>
    </row>
    <row r="942">
      <c r="A942" s="41"/>
      <c r="B942" s="42"/>
      <c r="E942" s="43"/>
    </row>
    <row r="943">
      <c r="A943" s="41"/>
      <c r="B943" s="42"/>
      <c r="E943" s="43"/>
    </row>
    <row r="944">
      <c r="A944" s="41"/>
      <c r="B944" s="42"/>
      <c r="E944" s="43"/>
    </row>
    <row r="945">
      <c r="A945" s="41"/>
      <c r="B945" s="42"/>
      <c r="E945" s="43"/>
    </row>
    <row r="946">
      <c r="A946" s="41"/>
      <c r="B946" s="42"/>
      <c r="E946" s="43"/>
    </row>
    <row r="947">
      <c r="A947" s="41"/>
      <c r="B947" s="42"/>
      <c r="E947" s="43"/>
    </row>
    <row r="948">
      <c r="A948" s="41"/>
      <c r="B948" s="42"/>
      <c r="E948" s="43"/>
    </row>
    <row r="949">
      <c r="A949" s="41"/>
      <c r="B949" s="42"/>
      <c r="E949" s="43"/>
    </row>
    <row r="950">
      <c r="A950" s="41"/>
      <c r="B950" s="42"/>
      <c r="E950" s="43"/>
    </row>
    <row r="951">
      <c r="A951" s="41"/>
      <c r="B951" s="42"/>
      <c r="E951" s="43"/>
    </row>
    <row r="952">
      <c r="A952" s="41"/>
      <c r="B952" s="42"/>
      <c r="E952" s="43"/>
    </row>
    <row r="953">
      <c r="A953" s="41"/>
      <c r="B953" s="42"/>
      <c r="E953" s="43"/>
    </row>
    <row r="954">
      <c r="A954" s="41"/>
      <c r="B954" s="42"/>
      <c r="E954" s="43"/>
    </row>
    <row r="955">
      <c r="A955" s="41"/>
      <c r="B955" s="42"/>
      <c r="E955" s="43"/>
    </row>
    <row r="956">
      <c r="A956" s="41"/>
      <c r="B956" s="42"/>
      <c r="E956" s="43"/>
    </row>
    <row r="957">
      <c r="A957" s="41"/>
      <c r="B957" s="42"/>
      <c r="E957" s="43"/>
    </row>
    <row r="958">
      <c r="A958" s="41"/>
      <c r="B958" s="42"/>
      <c r="E958" s="43"/>
    </row>
    <row r="959">
      <c r="A959" s="41"/>
      <c r="B959" s="42"/>
      <c r="E959" s="43"/>
    </row>
    <row r="960">
      <c r="A960" s="41"/>
      <c r="B960" s="42"/>
      <c r="E960" s="43"/>
    </row>
    <row r="961">
      <c r="A961" s="41"/>
      <c r="B961" s="42"/>
      <c r="E961" s="43"/>
    </row>
    <row r="962">
      <c r="A962" s="41"/>
      <c r="B962" s="42"/>
      <c r="E962" s="43"/>
    </row>
    <row r="963">
      <c r="A963" s="41"/>
      <c r="B963" s="42"/>
      <c r="E963" s="43"/>
    </row>
    <row r="964">
      <c r="A964" s="41"/>
      <c r="B964" s="42"/>
      <c r="E964" s="43"/>
    </row>
    <row r="965">
      <c r="A965" s="41"/>
      <c r="B965" s="42"/>
      <c r="E965" s="43"/>
    </row>
    <row r="966">
      <c r="A966" s="41"/>
      <c r="B966" s="42"/>
      <c r="E966" s="43"/>
    </row>
    <row r="967">
      <c r="A967" s="41"/>
      <c r="B967" s="42"/>
      <c r="E967" s="43"/>
    </row>
    <row r="968">
      <c r="A968" s="41"/>
      <c r="B968" s="42"/>
      <c r="E968" s="43"/>
    </row>
    <row r="969">
      <c r="A969" s="41"/>
      <c r="B969" s="42"/>
      <c r="E969" s="43"/>
    </row>
    <row r="970">
      <c r="A970" s="41"/>
      <c r="B970" s="42"/>
      <c r="E970" s="43"/>
    </row>
    <row r="971">
      <c r="A971" s="41"/>
      <c r="B971" s="42"/>
      <c r="E971" s="43"/>
    </row>
    <row r="972">
      <c r="A972" s="41"/>
      <c r="B972" s="42"/>
      <c r="E972" s="43"/>
    </row>
    <row r="973">
      <c r="A973" s="41"/>
      <c r="B973" s="42"/>
      <c r="E973" s="43"/>
    </row>
    <row r="974">
      <c r="A974" s="41"/>
      <c r="B974" s="42"/>
      <c r="E974" s="43"/>
    </row>
    <row r="975">
      <c r="A975" s="41"/>
      <c r="B975" s="42"/>
      <c r="E975" s="43"/>
    </row>
    <row r="976">
      <c r="A976" s="41"/>
      <c r="B976" s="42"/>
      <c r="E976" s="43"/>
    </row>
    <row r="977">
      <c r="A977" s="41"/>
      <c r="B977" s="42"/>
      <c r="E977" s="43"/>
    </row>
    <row r="978">
      <c r="A978" s="41"/>
      <c r="B978" s="42"/>
      <c r="E978" s="43"/>
    </row>
    <row r="979">
      <c r="A979" s="41"/>
      <c r="B979" s="42"/>
      <c r="E979" s="43"/>
    </row>
    <row r="980">
      <c r="A980" s="41"/>
      <c r="B980" s="42"/>
      <c r="E980" s="43"/>
    </row>
    <row r="981">
      <c r="A981" s="41"/>
      <c r="B981" s="42"/>
      <c r="E981" s="43"/>
    </row>
    <row r="982">
      <c r="A982" s="41"/>
      <c r="B982" s="42"/>
      <c r="E982" s="43"/>
    </row>
    <row r="983">
      <c r="A983" s="41"/>
      <c r="B983" s="42"/>
      <c r="E983" s="43"/>
    </row>
    <row r="984">
      <c r="A984" s="41"/>
      <c r="B984" s="42"/>
      <c r="E984" s="43"/>
    </row>
    <row r="985">
      <c r="A985" s="41"/>
      <c r="B985" s="42"/>
      <c r="E985" s="43"/>
    </row>
    <row r="986">
      <c r="A986" s="41"/>
      <c r="B986" s="42"/>
      <c r="E986" s="43"/>
    </row>
    <row r="987">
      <c r="A987" s="41"/>
      <c r="B987" s="42"/>
      <c r="E987" s="43"/>
    </row>
    <row r="988">
      <c r="A988" s="41"/>
      <c r="B988" s="42"/>
      <c r="E988" s="43"/>
    </row>
    <row r="989">
      <c r="A989" s="41"/>
      <c r="B989" s="42"/>
      <c r="E989" s="43"/>
    </row>
    <row r="990">
      <c r="A990" s="41"/>
      <c r="B990" s="42"/>
      <c r="E990" s="43"/>
    </row>
    <row r="991">
      <c r="A991" s="41"/>
      <c r="B991" s="42"/>
      <c r="E991" s="43"/>
    </row>
    <row r="992">
      <c r="A992" s="41"/>
      <c r="B992" s="42"/>
      <c r="E992" s="43"/>
    </row>
    <row r="993">
      <c r="A993" s="41"/>
      <c r="B993" s="42"/>
      <c r="E993" s="43"/>
    </row>
    <row r="994">
      <c r="A994" s="41"/>
      <c r="B994" s="42"/>
      <c r="E994" s="43"/>
    </row>
    <row r="995">
      <c r="A995" s="41"/>
      <c r="B995" s="42"/>
      <c r="E995" s="43"/>
    </row>
    <row r="996">
      <c r="A996" s="41"/>
      <c r="B996" s="42"/>
      <c r="E996" s="43"/>
    </row>
    <row r="997">
      <c r="A997" s="41"/>
      <c r="B997" s="42"/>
      <c r="E997" s="43"/>
    </row>
    <row r="998">
      <c r="A998" s="41"/>
      <c r="B998" s="42"/>
      <c r="E998" s="43"/>
    </row>
    <row r="999">
      <c r="A999" s="41"/>
      <c r="B999" s="42"/>
      <c r="E999" s="43"/>
    </row>
    <row r="1000">
      <c r="A1000" s="41"/>
      <c r="B1000" s="42"/>
      <c r="E1000" s="4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4" t="s">
        <v>136</v>
      </c>
      <c r="K1" s="1"/>
      <c r="L1" s="1"/>
      <c r="M1" s="1"/>
      <c r="N1" s="1"/>
      <c r="O1" s="1"/>
      <c r="P1" s="1"/>
      <c r="Q1" s="1"/>
      <c r="R1" s="1"/>
      <c r="S1" s="1"/>
      <c r="T1" s="1"/>
      <c r="U1" s="45" t="s">
        <v>137</v>
      </c>
      <c r="V1" s="46"/>
      <c r="W1" s="46"/>
      <c r="X1" s="46"/>
      <c r="Y1" s="46"/>
      <c r="Z1" s="1"/>
    </row>
    <row r="2" ht="21.0" customHeight="1">
      <c r="A2" s="1"/>
      <c r="B2" s="47" t="s">
        <v>138</v>
      </c>
      <c r="C2" s="48">
        <f>I75</f>
        <v>0</v>
      </c>
      <c r="D2" s="1"/>
      <c r="E2" s="49" t="s">
        <v>139</v>
      </c>
      <c r="F2" s="50">
        <f>C16+SUM(C20:C23)+SUM(C25:C28)+M36+D54+M41</f>
        <v>0</v>
      </c>
      <c r="G2" s="1"/>
      <c r="H2" s="49" t="s">
        <v>140</v>
      </c>
      <c r="I2" s="51">
        <f>I39</f>
        <v>0</v>
      </c>
      <c r="J2" s="1"/>
      <c r="K2" s="1"/>
      <c r="L2" s="47" t="s">
        <v>141</v>
      </c>
      <c r="M2" s="52">
        <f>'5月'!C20+'5月'!C21+'5月'!C22+'5月'!C23+'5月'!C25</f>
        <v>0</v>
      </c>
      <c r="N2" s="1"/>
      <c r="O2" s="1"/>
      <c r="P2" s="1"/>
      <c r="Q2" s="1"/>
      <c r="R2" s="1"/>
      <c r="S2" s="1"/>
      <c r="T2" s="1"/>
      <c r="U2" s="3" t="s">
        <v>142</v>
      </c>
      <c r="Z2" s="1"/>
    </row>
    <row r="3" ht="15.0" customHeight="1">
      <c r="A3" s="1"/>
      <c r="B3" s="53" t="s">
        <v>143</v>
      </c>
      <c r="C3" s="46"/>
      <c r="D3" s="46"/>
      <c r="E3" s="46"/>
      <c r="F3" s="1"/>
      <c r="G3" s="54" t="s">
        <v>144</v>
      </c>
      <c r="H3" s="46"/>
      <c r="I3" s="46"/>
      <c r="J3" s="46"/>
      <c r="K3" s="1"/>
      <c r="L3" s="55" t="s">
        <v>145</v>
      </c>
      <c r="M3" s="46"/>
      <c r="N3" s="46"/>
      <c r="O3" s="46"/>
      <c r="P3" s="46"/>
      <c r="Q3" s="46"/>
      <c r="R3" s="46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6" t="s">
        <v>146</v>
      </c>
      <c r="C4" s="56" t="s">
        <v>133</v>
      </c>
      <c r="D4" s="56" t="s">
        <v>147</v>
      </c>
      <c r="E4" s="56" t="s">
        <v>148</v>
      </c>
      <c r="F4" s="1"/>
      <c r="G4" s="56" t="s">
        <v>70</v>
      </c>
      <c r="H4" s="56" t="s">
        <v>133</v>
      </c>
      <c r="I4" s="56" t="s">
        <v>147</v>
      </c>
      <c r="J4" s="56" t="s">
        <v>148</v>
      </c>
      <c r="K4" s="1"/>
      <c r="L4" s="56" t="s">
        <v>149</v>
      </c>
      <c r="M4" s="56" t="s">
        <v>150</v>
      </c>
      <c r="N4" s="56" t="s">
        <v>151</v>
      </c>
      <c r="O4" s="56" t="s">
        <v>152</v>
      </c>
      <c r="P4" s="56" t="s">
        <v>153</v>
      </c>
      <c r="Q4" s="56" t="s">
        <v>154</v>
      </c>
      <c r="R4" s="56" t="s">
        <v>155</v>
      </c>
      <c r="S4" s="1"/>
      <c r="T4" s="1"/>
      <c r="U4" s="57" t="s">
        <v>156</v>
      </c>
      <c r="V4" s="46"/>
      <c r="W4" s="46"/>
      <c r="X4" s="46"/>
      <c r="Y4" s="46"/>
      <c r="Z4" s="1"/>
    </row>
    <row r="5" ht="15.0" customHeight="1">
      <c r="A5" s="1"/>
      <c r="B5" s="58" t="s">
        <v>157</v>
      </c>
      <c r="C5" s="59"/>
      <c r="D5" s="60"/>
      <c r="E5" s="61"/>
      <c r="F5" s="1"/>
      <c r="G5" s="58" t="s">
        <v>158</v>
      </c>
      <c r="H5" s="52">
        <f>'4月日次売上'!C34</f>
        <v>0</v>
      </c>
      <c r="I5" s="60"/>
      <c r="J5" s="62"/>
      <c r="K5" s="1"/>
      <c r="L5" s="60"/>
      <c r="M5" s="59"/>
      <c r="N5" s="63"/>
      <c r="O5" s="64"/>
      <c r="P5" s="59"/>
      <c r="Q5" s="65">
        <f t="shared" ref="Q5:Q12" si="1">M5*N5*O5</f>
        <v>0</v>
      </c>
      <c r="R5" s="65">
        <f t="shared" ref="R5:R12" si="2">P5*N5</f>
        <v>0</v>
      </c>
      <c r="S5" s="1"/>
      <c r="T5" s="1"/>
      <c r="U5" s="66" t="s">
        <v>3</v>
      </c>
      <c r="V5" s="67" t="s">
        <v>159</v>
      </c>
      <c r="W5" s="67" t="s">
        <v>160</v>
      </c>
      <c r="X5" s="67" t="s">
        <v>161</v>
      </c>
      <c r="Y5" s="66" t="s">
        <v>162</v>
      </c>
      <c r="Z5" s="1"/>
    </row>
    <row r="6" ht="15.0" customHeight="1">
      <c r="A6" s="1"/>
      <c r="B6" s="58" t="s">
        <v>163</v>
      </c>
      <c r="C6" s="59"/>
      <c r="D6" s="68"/>
      <c r="E6" s="61"/>
      <c r="F6" s="1"/>
      <c r="G6" s="58" t="s">
        <v>164</v>
      </c>
      <c r="H6" s="52">
        <f>'4月日次売上'!D34</f>
        <v>0</v>
      </c>
      <c r="I6" s="60"/>
      <c r="J6" s="62"/>
      <c r="K6" s="1"/>
      <c r="L6" s="60"/>
      <c r="M6" s="59"/>
      <c r="N6" s="63"/>
      <c r="O6" s="64"/>
      <c r="P6" s="59"/>
      <c r="Q6" s="65">
        <f t="shared" si="1"/>
        <v>0</v>
      </c>
      <c r="R6" s="65">
        <f t="shared" si="2"/>
        <v>0</v>
      </c>
      <c r="S6" s="1"/>
      <c r="T6" s="1"/>
      <c r="U6" s="6" t="s">
        <v>165</v>
      </c>
      <c r="V6" s="69">
        <f>'売上計画'!C38</f>
        <v>0</v>
      </c>
      <c r="W6" s="70" t="str">
        <f>IF(H26=0,"",H24/H26/2)</f>
        <v/>
      </c>
      <c r="X6" s="69">
        <f t="shared" ref="X6:X7" si="3">IF(W6="",0,W6-V6)</f>
        <v>0</v>
      </c>
      <c r="Y6" s="71">
        <f t="shared" ref="Y6:Y7" si="4">IF(OR(W6="",V6=0),0,W6/V6)</f>
        <v>0</v>
      </c>
      <c r="Z6" s="1"/>
    </row>
    <row r="7" ht="15.0" customHeight="1">
      <c r="A7" s="1"/>
      <c r="B7" s="72" t="s">
        <v>166</v>
      </c>
      <c r="C7" s="73">
        <f>SUM(C5:C6)</f>
        <v>0</v>
      </c>
      <c r="D7" s="74"/>
      <c r="E7" s="74"/>
      <c r="F7" s="1"/>
      <c r="G7" s="58" t="s">
        <v>167</v>
      </c>
      <c r="H7" s="52">
        <f>'4月日次売上'!E34</f>
        <v>0</v>
      </c>
      <c r="I7" s="60"/>
      <c r="J7" s="62"/>
      <c r="K7" s="1"/>
      <c r="L7" s="60"/>
      <c r="M7" s="59"/>
      <c r="N7" s="63"/>
      <c r="O7" s="64"/>
      <c r="P7" s="59"/>
      <c r="Q7" s="65">
        <f t="shared" si="1"/>
        <v>0</v>
      </c>
      <c r="R7" s="65">
        <f t="shared" si="2"/>
        <v>0</v>
      </c>
      <c r="S7" s="1"/>
      <c r="T7" s="1"/>
      <c r="U7" s="6" t="s">
        <v>168</v>
      </c>
      <c r="V7" s="69">
        <f>'売上計画'!C39</f>
        <v>0</v>
      </c>
      <c r="W7" s="70" t="str">
        <f>IF(H26=0,"",H24/H26/2)</f>
        <v/>
      </c>
      <c r="X7" s="69">
        <f t="shared" si="3"/>
        <v>0</v>
      </c>
      <c r="Y7" s="71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58" t="s">
        <v>169</v>
      </c>
      <c r="H8" s="52">
        <f>'4月日次売上'!F34</f>
        <v>0</v>
      </c>
      <c r="I8" s="60"/>
      <c r="J8" s="62"/>
      <c r="K8" s="1"/>
      <c r="L8" s="60"/>
      <c r="M8" s="59"/>
      <c r="N8" s="63"/>
      <c r="O8" s="64"/>
      <c r="P8" s="59"/>
      <c r="Q8" s="65">
        <f t="shared" si="1"/>
        <v>0</v>
      </c>
      <c r="R8" s="65">
        <f t="shared" si="2"/>
        <v>0</v>
      </c>
      <c r="S8" s="1"/>
      <c r="T8" s="1"/>
      <c r="U8" s="6" t="s">
        <v>170</v>
      </c>
      <c r="V8" s="69">
        <f>'売上計画'!C45</f>
        <v>0</v>
      </c>
      <c r="W8" s="69">
        <f>H20</f>
        <v>0</v>
      </c>
      <c r="X8" s="69">
        <f t="shared" ref="X8:X9" si="5">W8-V8</f>
        <v>0</v>
      </c>
      <c r="Y8" s="71">
        <f t="shared" ref="Y8:Y9" si="6">IF(V8=0,0,W8/V8)</f>
        <v>0</v>
      </c>
      <c r="Z8" s="1"/>
    </row>
    <row r="9" ht="15.0" customHeight="1">
      <c r="A9" s="1"/>
      <c r="B9" s="75" t="s">
        <v>171</v>
      </c>
      <c r="C9" s="46"/>
      <c r="D9" s="46"/>
      <c r="E9" s="46"/>
      <c r="F9" s="1"/>
      <c r="G9" s="58" t="s">
        <v>172</v>
      </c>
      <c r="H9" s="52">
        <f>'4月日次売上'!G34</f>
        <v>0</v>
      </c>
      <c r="I9" s="60"/>
      <c r="J9" s="62"/>
      <c r="K9" s="1"/>
      <c r="L9" s="60"/>
      <c r="M9" s="59"/>
      <c r="N9" s="63"/>
      <c r="O9" s="64"/>
      <c r="P9" s="59"/>
      <c r="Q9" s="65">
        <f t="shared" si="1"/>
        <v>0</v>
      </c>
      <c r="R9" s="65">
        <f t="shared" si="2"/>
        <v>0</v>
      </c>
      <c r="S9" s="1"/>
      <c r="T9" s="1"/>
      <c r="U9" s="6" t="s">
        <v>173</v>
      </c>
      <c r="V9" s="69">
        <f>IF((V6*'売上計画'!$C$7+V7*'売上計画'!$C$8)=0,0,V8/(V6*'売上計画'!$C$7+V7*'売上計画'!$C$8))</f>
        <v>0</v>
      </c>
      <c r="W9" s="69">
        <f>H25</f>
        <v>0</v>
      </c>
      <c r="X9" s="69">
        <f t="shared" si="5"/>
        <v>0</v>
      </c>
      <c r="Y9" s="71">
        <f t="shared" si="6"/>
        <v>0</v>
      </c>
      <c r="Z9" s="1"/>
    </row>
    <row r="10" ht="15.0" customHeight="1">
      <c r="A10" s="1"/>
      <c r="B10" s="56" t="s">
        <v>146</v>
      </c>
      <c r="C10" s="56" t="s">
        <v>133</v>
      </c>
      <c r="D10" s="56" t="s">
        <v>147</v>
      </c>
      <c r="E10" s="56" t="s">
        <v>148</v>
      </c>
      <c r="F10" s="1"/>
      <c r="G10" s="58" t="s">
        <v>174</v>
      </c>
      <c r="H10" s="52">
        <f>'4月日次売上'!H34</f>
        <v>0</v>
      </c>
      <c r="I10" s="60"/>
      <c r="J10" s="62"/>
      <c r="K10" s="1"/>
      <c r="L10" s="60"/>
      <c r="M10" s="59"/>
      <c r="N10" s="63"/>
      <c r="O10" s="64"/>
      <c r="P10" s="59"/>
      <c r="Q10" s="65">
        <f t="shared" si="1"/>
        <v>0</v>
      </c>
      <c r="R10" s="65">
        <f t="shared" si="2"/>
        <v>0</v>
      </c>
      <c r="S10" s="1"/>
      <c r="T10" s="1"/>
      <c r="U10" s="1"/>
      <c r="V10" s="70"/>
      <c r="W10" s="70"/>
      <c r="X10" s="70"/>
      <c r="Y10" s="1"/>
      <c r="Z10" s="1"/>
    </row>
    <row r="11" ht="15.0" customHeight="1">
      <c r="A11" s="1"/>
      <c r="B11" s="58" t="s">
        <v>175</v>
      </c>
      <c r="C11" s="76">
        <f>SUMIFS('freee実績'!$E:$E,'freee実績'!$B:$B,"2026-04",'freee実績'!$C:$C,"仕入高",'freee実績'!$D:$D,"コーヒー豆・茶葉")</f>
        <v>0</v>
      </c>
      <c r="D11" s="60"/>
      <c r="E11" s="62"/>
      <c r="F11" s="1"/>
      <c r="G11" s="72" t="s">
        <v>176</v>
      </c>
      <c r="H11" s="73">
        <f>SUM(H5:H10)</f>
        <v>0</v>
      </c>
      <c r="I11" s="74"/>
      <c r="J11" s="74"/>
      <c r="K11" s="1"/>
      <c r="L11" s="60"/>
      <c r="M11" s="59"/>
      <c r="N11" s="63"/>
      <c r="O11" s="64"/>
      <c r="P11" s="59"/>
      <c r="Q11" s="65">
        <f t="shared" si="1"/>
        <v>0</v>
      </c>
      <c r="R11" s="65">
        <f t="shared" si="2"/>
        <v>0</v>
      </c>
      <c r="S11" s="1"/>
      <c r="T11" s="1"/>
      <c r="U11" s="57" t="s">
        <v>177</v>
      </c>
      <c r="V11" s="46"/>
      <c r="W11" s="46"/>
      <c r="X11" s="46"/>
      <c r="Y11" s="46"/>
      <c r="Z11" s="1"/>
    </row>
    <row r="12" ht="15.0" customHeight="1">
      <c r="A12" s="1"/>
      <c r="B12" s="58" t="s">
        <v>178</v>
      </c>
      <c r="C12" s="76">
        <f>SUMIFS('freee実績'!$E:$E,'freee実績'!$B:$B,"2026-04",'freee実績'!$C:$C,"仕入高",'freee実績'!$D:$D,"牛乳・シロップ等")</f>
        <v>0</v>
      </c>
      <c r="D12" s="60"/>
      <c r="E12" s="62"/>
      <c r="F12" s="1"/>
      <c r="G12" s="1"/>
      <c r="H12" s="1"/>
      <c r="I12" s="1"/>
      <c r="J12" s="1"/>
      <c r="K12" s="1"/>
      <c r="L12" s="60"/>
      <c r="M12" s="59"/>
      <c r="N12" s="63"/>
      <c r="O12" s="64"/>
      <c r="P12" s="59"/>
      <c r="Q12" s="65">
        <f t="shared" si="1"/>
        <v>0</v>
      </c>
      <c r="R12" s="65">
        <f t="shared" si="2"/>
        <v>0</v>
      </c>
      <c r="S12" s="1"/>
      <c r="T12" s="1"/>
      <c r="U12" s="66" t="s">
        <v>3</v>
      </c>
      <c r="V12" s="67" t="s">
        <v>159</v>
      </c>
      <c r="W12" s="67" t="s">
        <v>160</v>
      </c>
      <c r="X12" s="67" t="s">
        <v>161</v>
      </c>
      <c r="Y12" s="66" t="s">
        <v>179</v>
      </c>
      <c r="Z12" s="1"/>
    </row>
    <row r="13" ht="15.0" customHeight="1">
      <c r="A13" s="1"/>
      <c r="B13" s="58" t="s">
        <v>180</v>
      </c>
      <c r="C13" s="76">
        <f>SUMIFS('freee実績'!$E:$E,'freee実績'!$B:$B,"2026-04",'freee実績'!$C:$C,"仕入高",'freee実績'!$D:$D,"フード材料費")</f>
        <v>0</v>
      </c>
      <c r="D13" s="60"/>
      <c r="E13" s="62"/>
      <c r="F13" s="1"/>
      <c r="G13" s="54" t="s">
        <v>181</v>
      </c>
      <c r="H13" s="46"/>
      <c r="I13" s="46"/>
      <c r="J13" s="46"/>
      <c r="K13" s="1"/>
      <c r="L13" s="72" t="s">
        <v>182</v>
      </c>
      <c r="M13" s="74"/>
      <c r="N13" s="74"/>
      <c r="O13" s="74"/>
      <c r="P13" s="74"/>
      <c r="Q13" s="73">
        <f t="shared" ref="Q13:R13" si="7">SUM(Q5:Q12)</f>
        <v>0</v>
      </c>
      <c r="R13" s="73">
        <f t="shared" si="7"/>
        <v>0</v>
      </c>
      <c r="S13" s="1"/>
      <c r="T13" s="1"/>
      <c r="U13" s="6" t="s">
        <v>183</v>
      </c>
      <c r="V13" s="69">
        <f>'売上計画'!C46</f>
        <v>0</v>
      </c>
      <c r="W13" s="69">
        <f>C16</f>
        <v>0</v>
      </c>
      <c r="X13" s="69">
        <f t="shared" ref="X13:X14" si="8">W13-V13</f>
        <v>0</v>
      </c>
      <c r="Y13" s="71">
        <f>IF(W8=0,0,W13/W8)</f>
        <v>0</v>
      </c>
      <c r="Z13" s="1"/>
    </row>
    <row r="14" ht="15.0" customHeight="1">
      <c r="A14" s="1"/>
      <c r="B14" s="58" t="s">
        <v>184</v>
      </c>
      <c r="C14" s="76">
        <f>SUMIFS('freee実績'!$E:$E,'freee実績'!$B:$B,"2026-04",'freee実績'!$C:$C,"仕入高",'freee実績'!$D:$D,"包装資材・消耗品")</f>
        <v>0</v>
      </c>
      <c r="D14" s="60"/>
      <c r="E14" s="62"/>
      <c r="F14" s="1"/>
      <c r="G14" s="56" t="s">
        <v>70</v>
      </c>
      <c r="H14" s="56" t="s">
        <v>133</v>
      </c>
      <c r="I14" s="56" t="s">
        <v>147</v>
      </c>
      <c r="J14" s="56" t="s">
        <v>148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185</v>
      </c>
      <c r="V14" s="69">
        <f>'売上計画'!C47</f>
        <v>0</v>
      </c>
      <c r="W14" s="69">
        <f>H20-C16</f>
        <v>0</v>
      </c>
      <c r="X14" s="69">
        <f t="shared" si="8"/>
        <v>0</v>
      </c>
      <c r="Y14" s="71">
        <f>IF(W8=0,0,W14/W8)</f>
        <v>0</v>
      </c>
      <c r="Z14" s="1"/>
    </row>
    <row r="15" ht="15.0" customHeight="1">
      <c r="A15" s="1"/>
      <c r="B15" s="58" t="s">
        <v>186</v>
      </c>
      <c r="C15" s="76">
        <f>SUMIFS('freee実績'!$E:$E,'freee実績'!$B:$B,"2026-04",'freee実績'!$C:$C,"仕入高",'freee実績'!$D:$D,"その他原価")</f>
        <v>0</v>
      </c>
      <c r="D15" s="60"/>
      <c r="E15" s="62"/>
      <c r="F15" s="1"/>
      <c r="G15" s="58" t="s">
        <v>187</v>
      </c>
      <c r="H15" s="52">
        <f>'4月日次売上'!I34</f>
        <v>0</v>
      </c>
      <c r="I15" s="60"/>
      <c r="J15" s="62"/>
      <c r="K15" s="1"/>
      <c r="L15" s="77" t="s">
        <v>188</v>
      </c>
      <c r="M15" s="46"/>
      <c r="N15" s="46"/>
      <c r="O15" s="46"/>
      <c r="P15" s="46"/>
      <c r="Q15" s="46"/>
      <c r="R15" s="46"/>
      <c r="S15" s="1"/>
      <c r="T15" s="1"/>
      <c r="U15" s="1"/>
      <c r="V15" s="70"/>
      <c r="W15" s="70"/>
      <c r="X15" s="70"/>
      <c r="Y15" s="1"/>
      <c r="Z15" s="1"/>
    </row>
    <row r="16" ht="15.0" customHeight="1">
      <c r="A16" s="1"/>
      <c r="B16" s="72" t="s">
        <v>189</v>
      </c>
      <c r="C16" s="73">
        <f>SUM(C11:C15)</f>
        <v>0</v>
      </c>
      <c r="D16" s="74"/>
      <c r="E16" s="74"/>
      <c r="F16" s="1"/>
      <c r="G16" s="58" t="s">
        <v>190</v>
      </c>
      <c r="H16" s="76"/>
      <c r="I16" s="60"/>
      <c r="J16" s="62"/>
      <c r="K16" s="1"/>
      <c r="L16" s="56" t="s">
        <v>3</v>
      </c>
      <c r="M16" s="56" t="s">
        <v>191</v>
      </c>
      <c r="N16" s="56"/>
      <c r="O16" s="56"/>
      <c r="P16" s="56"/>
      <c r="Q16" s="56"/>
      <c r="R16" s="56" t="s">
        <v>5</v>
      </c>
      <c r="S16" s="1"/>
      <c r="T16" s="1"/>
      <c r="U16" s="57" t="s">
        <v>192</v>
      </c>
      <c r="V16" s="46"/>
      <c r="W16" s="46"/>
      <c r="X16" s="46"/>
      <c r="Y16" s="46"/>
      <c r="Z16" s="1"/>
    </row>
    <row r="17" ht="15.0" customHeight="1">
      <c r="A17" s="1"/>
      <c r="B17" s="1"/>
      <c r="C17" s="1"/>
      <c r="D17" s="1"/>
      <c r="E17" s="1"/>
      <c r="F17" s="1"/>
      <c r="G17" s="58" t="s">
        <v>193</v>
      </c>
      <c r="H17" s="76"/>
      <c r="I17" s="60"/>
      <c r="J17" s="62"/>
      <c r="K17" s="1"/>
      <c r="L17" s="58" t="s">
        <v>194</v>
      </c>
      <c r="M17" s="59"/>
      <c r="N17" s="78"/>
      <c r="O17" s="78"/>
      <c r="P17" s="78"/>
      <c r="Q17" s="78"/>
      <c r="R17" s="62"/>
      <c r="S17" s="1"/>
      <c r="T17" s="1"/>
      <c r="U17" s="66" t="s">
        <v>3</v>
      </c>
      <c r="V17" s="67" t="s">
        <v>159</v>
      </c>
      <c r="W17" s="67" t="s">
        <v>160</v>
      </c>
      <c r="X17" s="67" t="s">
        <v>161</v>
      </c>
      <c r="Y17" s="1"/>
      <c r="Z17" s="1"/>
    </row>
    <row r="18" ht="15.0" customHeight="1">
      <c r="A18" s="1"/>
      <c r="B18" s="77" t="s">
        <v>195</v>
      </c>
      <c r="C18" s="46"/>
      <c r="D18" s="46"/>
      <c r="E18" s="46"/>
      <c r="F18" s="1"/>
      <c r="G18" s="72" t="s">
        <v>196</v>
      </c>
      <c r="H18" s="73">
        <f>SUM(H15:H17)</f>
        <v>0</v>
      </c>
      <c r="I18" s="74"/>
      <c r="J18" s="74"/>
      <c r="K18" s="1"/>
      <c r="L18" s="58" t="s">
        <v>197</v>
      </c>
      <c r="M18" s="59"/>
      <c r="N18" s="78"/>
      <c r="O18" s="78"/>
      <c r="P18" s="78"/>
      <c r="Q18" s="78"/>
      <c r="R18" s="62"/>
      <c r="S18" s="1"/>
      <c r="T18" s="1"/>
      <c r="U18" s="6" t="s">
        <v>198</v>
      </c>
      <c r="V18" s="69">
        <f>'売上計画'!C54</f>
        <v>0</v>
      </c>
      <c r="W18" s="69">
        <f>C24</f>
        <v>0</v>
      </c>
      <c r="X18" s="69">
        <f t="shared" ref="X18:X21" si="9">W18-V18</f>
        <v>0</v>
      </c>
      <c r="Y18" s="1"/>
      <c r="Z18" s="1"/>
    </row>
    <row r="19" ht="15.0" customHeight="1">
      <c r="A19" s="1"/>
      <c r="B19" s="56" t="s">
        <v>146</v>
      </c>
      <c r="C19" s="56" t="s">
        <v>133</v>
      </c>
      <c r="D19" s="56" t="s">
        <v>147</v>
      </c>
      <c r="E19" s="56" t="s">
        <v>148</v>
      </c>
      <c r="F19" s="1"/>
      <c r="G19" s="1"/>
      <c r="H19" s="1"/>
      <c r="I19" s="1"/>
      <c r="J19" s="1"/>
      <c r="K19" s="1"/>
      <c r="L19" s="58" t="s">
        <v>199</v>
      </c>
      <c r="M19" s="59"/>
      <c r="N19" s="78"/>
      <c r="O19" s="78"/>
      <c r="P19" s="78"/>
      <c r="Q19" s="78"/>
      <c r="R19" s="62"/>
      <c r="S19" s="1"/>
      <c r="T19" s="1"/>
      <c r="U19" s="6" t="s">
        <v>200</v>
      </c>
      <c r="V19" s="69">
        <f>'売上計画'!C57</f>
        <v>0</v>
      </c>
      <c r="W19" s="69">
        <f>C20+C21+C22+C23</f>
        <v>0</v>
      </c>
      <c r="X19" s="69">
        <f t="shared" si="9"/>
        <v>0</v>
      </c>
      <c r="Y19" s="1"/>
      <c r="Z19" s="1"/>
    </row>
    <row r="20" ht="15.0" customHeight="1">
      <c r="A20" s="1"/>
      <c r="B20" s="79" t="s">
        <v>201</v>
      </c>
      <c r="C20" s="80">
        <f>SUMIFS('freee実績'!$E:$E,'freee実績'!$B:$B,"2026-04",'freee実績'!$C:$C,"地代家賃")</f>
        <v>0</v>
      </c>
      <c r="D20" s="81" t="s">
        <v>202</v>
      </c>
      <c r="E20" s="62"/>
      <c r="F20" s="1"/>
      <c r="G20" s="82" t="s">
        <v>203</v>
      </c>
      <c r="H20" s="83">
        <f>H11+H18</f>
        <v>0</v>
      </c>
      <c r="I20" s="84"/>
      <c r="J20" s="84"/>
      <c r="K20" s="1"/>
      <c r="L20" s="58" t="s">
        <v>204</v>
      </c>
      <c r="M20" s="59"/>
      <c r="N20" s="78"/>
      <c r="O20" s="78"/>
      <c r="P20" s="78"/>
      <c r="Q20" s="78"/>
      <c r="R20" s="62"/>
      <c r="S20" s="1"/>
      <c r="T20" s="1"/>
      <c r="U20" s="6" t="s">
        <v>205</v>
      </c>
      <c r="V20" s="69">
        <f>'売上計画'!C58</f>
        <v>0</v>
      </c>
      <c r="W20" s="69">
        <f>C25</f>
        <v>0</v>
      </c>
      <c r="X20" s="69">
        <f t="shared" si="9"/>
        <v>0</v>
      </c>
      <c r="Y20" s="1"/>
      <c r="Z20" s="1"/>
    </row>
    <row r="21" ht="15.0" customHeight="1">
      <c r="A21" s="1"/>
      <c r="B21" s="79" t="s">
        <v>206</v>
      </c>
      <c r="C21" s="80">
        <f>SUMIFS('freee実績'!$E:$E,'freee実績'!$B:$B,"2026-04",'freee実績'!$C:$C,"水道光熱費")</f>
        <v>0</v>
      </c>
      <c r="D21" s="81" t="s">
        <v>202</v>
      </c>
      <c r="E21" s="62"/>
      <c r="F21" s="1"/>
      <c r="G21" s="1"/>
      <c r="H21" s="1"/>
      <c r="I21" s="1"/>
      <c r="J21" s="1"/>
      <c r="K21" s="1"/>
      <c r="L21" s="72" t="s">
        <v>207</v>
      </c>
      <c r="M21" s="73">
        <f>SUM(M17:M20)</f>
        <v>0</v>
      </c>
      <c r="N21" s="74"/>
      <c r="O21" s="74"/>
      <c r="P21" s="74"/>
      <c r="Q21" s="74"/>
      <c r="R21" s="74"/>
      <c r="S21" s="1"/>
      <c r="T21" s="1"/>
      <c r="U21" s="6" t="s">
        <v>208</v>
      </c>
      <c r="V21" s="69">
        <f>'売上計画'!C59</f>
        <v>0</v>
      </c>
      <c r="W21" s="69">
        <f>C30</f>
        <v>0</v>
      </c>
      <c r="X21" s="69">
        <f t="shared" si="9"/>
        <v>0</v>
      </c>
      <c r="Y21" s="1"/>
      <c r="Z21" s="1"/>
    </row>
    <row r="22" ht="16.5" customHeight="1">
      <c r="A22" s="1"/>
      <c r="B22" s="79" t="s">
        <v>209</v>
      </c>
      <c r="C22" s="80">
        <f>SUMIFS('freee実績'!$E:$E,'freee実績'!$B:$B,"2026-04",'freee実績'!$C:$C,"通信費")</f>
        <v>0</v>
      </c>
      <c r="D22" s="81" t="s">
        <v>202</v>
      </c>
      <c r="E22" s="62"/>
      <c r="F22" s="1"/>
      <c r="G22" s="85" t="s">
        <v>210</v>
      </c>
      <c r="H22" s="46"/>
      <c r="I22" s="46"/>
      <c r="J22" s="4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0"/>
      <c r="W22" s="70"/>
      <c r="X22" s="70"/>
      <c r="Y22" s="1"/>
      <c r="Z22" s="1"/>
    </row>
    <row r="23" ht="15.0" customHeight="1">
      <c r="A23" s="1"/>
      <c r="B23" s="79" t="s">
        <v>211</v>
      </c>
      <c r="C23" s="80">
        <f>SUMIFS('freee実績'!$E:$E,'freee実績'!$B:$B,"2026-04",'freee実績'!$C:$C,"保険料")</f>
        <v>0</v>
      </c>
      <c r="D23" s="81" t="s">
        <v>202</v>
      </c>
      <c r="E23" s="62"/>
      <c r="F23" s="1"/>
      <c r="G23" s="56" t="s">
        <v>212</v>
      </c>
      <c r="H23" s="56" t="s">
        <v>213</v>
      </c>
      <c r="I23" s="56"/>
      <c r="J23" s="56" t="s">
        <v>214</v>
      </c>
      <c r="K23" s="1"/>
      <c r="L23" s="86" t="s">
        <v>215</v>
      </c>
      <c r="M23" s="87">
        <f>Q13+R13+M21</f>
        <v>0</v>
      </c>
      <c r="N23" s="88"/>
      <c r="O23" s="88"/>
      <c r="P23" s="88"/>
      <c r="Q23" s="88"/>
      <c r="R23" s="88"/>
      <c r="S23" s="1"/>
      <c r="T23" s="1"/>
      <c r="U23" s="57" t="s">
        <v>216</v>
      </c>
      <c r="V23" s="46"/>
      <c r="W23" s="46"/>
      <c r="X23" s="46"/>
      <c r="Y23" s="46"/>
      <c r="Z23" s="1"/>
    </row>
    <row r="24" ht="15.0" customHeight="1">
      <c r="A24" s="1"/>
      <c r="B24" s="58" t="s">
        <v>217</v>
      </c>
      <c r="C24" s="89">
        <f>M23</f>
        <v>0</v>
      </c>
      <c r="D24" s="90" t="s">
        <v>218</v>
      </c>
      <c r="E24" s="62"/>
      <c r="F24" s="1"/>
      <c r="G24" s="58" t="s">
        <v>219</v>
      </c>
      <c r="H24" s="91">
        <f>'4月日次売上'!J34</f>
        <v>0</v>
      </c>
      <c r="I24" s="78"/>
      <c r="J24" s="92"/>
      <c r="K24" s="1"/>
      <c r="L24" s="1"/>
      <c r="M24" s="1"/>
      <c r="N24" s="1"/>
      <c r="O24" s="1"/>
      <c r="P24" s="1"/>
      <c r="Q24" s="1"/>
      <c r="R24" s="1"/>
      <c r="S24" s="1"/>
      <c r="T24" s="1"/>
      <c r="U24" s="66" t="s">
        <v>3</v>
      </c>
      <c r="V24" s="67" t="s">
        <v>159</v>
      </c>
      <c r="W24" s="67" t="s">
        <v>160</v>
      </c>
      <c r="X24" s="67" t="s">
        <v>161</v>
      </c>
      <c r="Y24" s="66" t="s">
        <v>162</v>
      </c>
      <c r="Z24" s="1"/>
    </row>
    <row r="25" ht="15.0" customHeight="1">
      <c r="A25" s="1"/>
      <c r="B25" s="58" t="s">
        <v>220</v>
      </c>
      <c r="C25" s="93">
        <f>SUMIFS('freee実績'!$E:$E,'freee実績'!$B:$B,"2026-04",'freee実績'!$C:$C,"消耗品費")</f>
        <v>0</v>
      </c>
      <c r="D25" s="90" t="s">
        <v>218</v>
      </c>
      <c r="E25" s="62"/>
      <c r="F25" s="1"/>
      <c r="G25" s="58" t="s">
        <v>173</v>
      </c>
      <c r="H25" s="65">
        <f>IF(H24=0,0,H20/H24)</f>
        <v>0</v>
      </c>
      <c r="I25" s="78"/>
      <c r="J25" s="94" t="s">
        <v>221</v>
      </c>
      <c r="K25" s="1"/>
      <c r="L25" s="95" t="s">
        <v>222</v>
      </c>
      <c r="M25" s="1"/>
      <c r="N25" s="1"/>
      <c r="O25" s="1"/>
      <c r="P25" s="1"/>
      <c r="Q25" s="1"/>
      <c r="R25" s="1"/>
      <c r="S25" s="1"/>
      <c r="T25" s="1"/>
      <c r="U25" s="6" t="s">
        <v>223</v>
      </c>
      <c r="V25" s="69" t="str">
        <f>'売上計画'!C61</f>
        <v/>
      </c>
      <c r="W25" s="69">
        <f>I39</f>
        <v>0</v>
      </c>
      <c r="X25" s="69">
        <f t="shared" ref="X25:X26" si="10">W25-V25</f>
        <v>0</v>
      </c>
      <c r="Y25" s="71">
        <f>IF(V25=0,0,W25/V25)</f>
        <v>0</v>
      </c>
      <c r="Z25" s="1"/>
    </row>
    <row r="26" ht="15.0" customHeight="1">
      <c r="A26" s="1"/>
      <c r="B26" s="58" t="s">
        <v>224</v>
      </c>
      <c r="C26" s="93">
        <f>SUMIFS('freee実績'!$E:$E,'freee実績'!$B:$B,"2026-04",'freee実績'!$C:$C,"広告宣伝費")</f>
        <v>0</v>
      </c>
      <c r="D26" s="90" t="s">
        <v>218</v>
      </c>
      <c r="E26" s="62"/>
      <c r="F26" s="1"/>
      <c r="G26" s="58" t="s">
        <v>225</v>
      </c>
      <c r="H26" s="63">
        <v>0.0</v>
      </c>
      <c r="I26" s="78"/>
      <c r="J26" s="92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226</v>
      </c>
      <c r="V26" s="71">
        <f>'売上計画'!C62</f>
        <v>0</v>
      </c>
      <c r="W26" s="71">
        <f>IF(W8=0,0,W25/W8)</f>
        <v>0</v>
      </c>
      <c r="X26" s="71">
        <f t="shared" si="10"/>
        <v>0</v>
      </c>
      <c r="Y26" s="1"/>
      <c r="Z26" s="1"/>
    </row>
    <row r="27" ht="15.0" customHeight="1">
      <c r="A27" s="1"/>
      <c r="B27" s="58" t="s">
        <v>227</v>
      </c>
      <c r="C27" s="93">
        <f>SUMIFS('freee実績'!$E:$E,'freee実績'!$B:$B,"2026-04",'freee実績'!$C:$C,"修繕費")</f>
        <v>0</v>
      </c>
      <c r="D27" s="90" t="s">
        <v>218</v>
      </c>
      <c r="E27" s="62"/>
      <c r="F27" s="1"/>
      <c r="G27" s="58" t="s">
        <v>228</v>
      </c>
      <c r="H27" s="65">
        <f>IF(H26=0,0,H20/H26)</f>
        <v>0</v>
      </c>
      <c r="I27" s="78"/>
      <c r="J27" s="94" t="s">
        <v>229</v>
      </c>
      <c r="K27" s="1"/>
      <c r="L27" s="85" t="s">
        <v>230</v>
      </c>
      <c r="M27" s="46"/>
      <c r="N27" s="46"/>
      <c r="O27" s="46"/>
      <c r="P27" s="46"/>
      <c r="Q27" s="46"/>
      <c r="R27" s="46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8" t="s">
        <v>231</v>
      </c>
      <c r="C28" s="93">
        <f>SUMIFS('freee実績'!$E:$E,'freee実績'!$B:$B,"2026-04",'freee実績'!$C:$C,"雑費")</f>
        <v>0</v>
      </c>
      <c r="D28" s="90" t="s">
        <v>218</v>
      </c>
      <c r="E28" s="62"/>
      <c r="F28" s="1"/>
      <c r="G28" s="58" t="s">
        <v>179</v>
      </c>
      <c r="H28" s="96">
        <f>IF(H20=0,0,C16/H20)</f>
        <v>0</v>
      </c>
      <c r="I28" s="78"/>
      <c r="J28" s="94" t="s">
        <v>232</v>
      </c>
      <c r="K28" s="1"/>
      <c r="L28" s="56" t="s">
        <v>212</v>
      </c>
      <c r="M28" s="56" t="s">
        <v>213</v>
      </c>
      <c r="N28" s="56"/>
      <c r="O28" s="56"/>
      <c r="P28" s="56"/>
      <c r="Q28" s="56"/>
      <c r="R28" s="56" t="s">
        <v>214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97" t="s">
        <v>233</v>
      </c>
      <c r="C29" s="98">
        <f>'固定資産台帳'!L26</f>
        <v>0</v>
      </c>
      <c r="D29" s="99" t="s">
        <v>234</v>
      </c>
      <c r="E29" s="62"/>
      <c r="F29" s="1"/>
      <c r="G29" s="1"/>
      <c r="H29" s="1"/>
      <c r="I29" s="1"/>
      <c r="J29" s="1"/>
      <c r="K29" s="1"/>
      <c r="L29" s="58" t="s">
        <v>235</v>
      </c>
      <c r="M29" s="96">
        <f>IF(H20=0,0,M23/H20)</f>
        <v>0</v>
      </c>
      <c r="N29" s="78"/>
      <c r="O29" s="78"/>
      <c r="P29" s="78"/>
      <c r="Q29" s="78"/>
      <c r="R29" s="94" t="s">
        <v>236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2" t="s">
        <v>237</v>
      </c>
      <c r="C30" s="73">
        <f>SUM(C20:C29)</f>
        <v>0</v>
      </c>
      <c r="D30" s="74"/>
      <c r="E30" s="74"/>
      <c r="F30" s="1"/>
      <c r="G30" s="1"/>
      <c r="H30" s="1"/>
      <c r="I30" s="1"/>
      <c r="J30" s="1"/>
      <c r="K30" s="1"/>
      <c r="L30" s="58" t="s">
        <v>238</v>
      </c>
      <c r="M30" s="65">
        <f>IF((SUM(N5:N12)*SUM(O5:O12))=0,0,H20/(SUM(N5:N12)*SUM(O5:O12)))</f>
        <v>0</v>
      </c>
      <c r="N30" s="78"/>
      <c r="O30" s="78"/>
      <c r="P30" s="78"/>
      <c r="Q30" s="78"/>
      <c r="R30" s="94" t="s">
        <v>239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77" t="s">
        <v>240</v>
      </c>
      <c r="C32" s="46"/>
      <c r="D32" s="46"/>
      <c r="E32" s="46"/>
      <c r="F32" s="100"/>
      <c r="G32" s="53" t="s">
        <v>241</v>
      </c>
      <c r="H32" s="46"/>
      <c r="I32" s="46"/>
      <c r="J32" s="46"/>
      <c r="K32" s="1"/>
      <c r="L32" s="101" t="s">
        <v>242</v>
      </c>
      <c r="M32" s="46"/>
      <c r="N32" s="46"/>
      <c r="O32" s="46"/>
      <c r="P32" s="46"/>
      <c r="Q32" s="46"/>
      <c r="R32" s="46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6" t="s">
        <v>146</v>
      </c>
      <c r="C33" s="56" t="s">
        <v>243</v>
      </c>
      <c r="D33" s="56" t="s">
        <v>160</v>
      </c>
      <c r="E33" s="102" t="s">
        <v>244</v>
      </c>
      <c r="F33" s="56" t="s">
        <v>148</v>
      </c>
      <c r="G33" s="56"/>
      <c r="H33" s="56" t="s">
        <v>3</v>
      </c>
      <c r="I33" s="56" t="s">
        <v>133</v>
      </c>
      <c r="J33" s="56"/>
      <c r="K33" s="1"/>
      <c r="L33" s="95" t="s">
        <v>245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03"/>
      <c r="C34" s="93"/>
      <c r="D34" s="59"/>
      <c r="E34" s="104"/>
      <c r="F34" s="105"/>
      <c r="G34" s="78"/>
      <c r="H34" s="106" t="s">
        <v>246</v>
      </c>
      <c r="I34" s="65">
        <f>H20</f>
        <v>0</v>
      </c>
      <c r="J34" s="78"/>
      <c r="K34" s="1"/>
      <c r="L34" s="107" t="s">
        <v>247</v>
      </c>
      <c r="M34" s="108" t="s">
        <v>248</v>
      </c>
      <c r="N34" s="95" t="s">
        <v>249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8"/>
      <c r="C35" s="76"/>
      <c r="D35" s="59"/>
      <c r="E35" s="65">
        <f t="shared" ref="E35:E54" si="11">C35-D35</f>
        <v>0</v>
      </c>
      <c r="F35" s="109"/>
      <c r="G35" s="78"/>
      <c r="H35" s="106" t="s">
        <v>183</v>
      </c>
      <c r="I35" s="65">
        <f>C16</f>
        <v>0</v>
      </c>
      <c r="J35" s="78"/>
      <c r="K35" s="1"/>
      <c r="L35" s="58" t="s">
        <v>250</v>
      </c>
      <c r="M35" s="52">
        <f>M23</f>
        <v>0</v>
      </c>
      <c r="N35" s="110" t="s">
        <v>251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03"/>
      <c r="C36" s="93"/>
      <c r="D36" s="59"/>
      <c r="E36" s="104">
        <f t="shared" si="11"/>
        <v>0</v>
      </c>
      <c r="F36" s="105"/>
      <c r="G36" s="78"/>
      <c r="H36" s="106" t="s">
        <v>185</v>
      </c>
      <c r="I36" s="65">
        <f>I34-I35</f>
        <v>0</v>
      </c>
      <c r="J36" s="78"/>
      <c r="K36" s="1"/>
      <c r="L36" s="58" t="s">
        <v>252</v>
      </c>
      <c r="M36" s="65">
        <f>IF(M34="支払い",M35,0)</f>
        <v>0</v>
      </c>
      <c r="N36" s="95" t="s">
        <v>253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8"/>
      <c r="C37" s="76"/>
      <c r="D37" s="59"/>
      <c r="E37" s="65">
        <f t="shared" si="11"/>
        <v>0</v>
      </c>
      <c r="F37" s="109"/>
      <c r="G37" s="78"/>
      <c r="H37" s="106" t="s">
        <v>254</v>
      </c>
      <c r="I37" s="96">
        <f>IF(I34=0,0,I36/I34)</f>
        <v>0</v>
      </c>
      <c r="J37" s="78"/>
      <c r="K37" s="1"/>
      <c r="L37" s="111" t="s">
        <v>255</v>
      </c>
      <c r="M37" s="112">
        <f>M35-M36</f>
        <v>0</v>
      </c>
      <c r="N37" s="95" t="s">
        <v>256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3"/>
      <c r="C38" s="93"/>
      <c r="D38" s="59"/>
      <c r="E38" s="104">
        <f t="shared" si="11"/>
        <v>0</v>
      </c>
      <c r="F38" s="105"/>
      <c r="G38" s="78"/>
      <c r="H38" s="106" t="s">
        <v>208</v>
      </c>
      <c r="I38" s="65">
        <f>C30</f>
        <v>0</v>
      </c>
      <c r="J38" s="78"/>
      <c r="K38" s="1"/>
      <c r="L38" s="58" t="s">
        <v>257</v>
      </c>
      <c r="M38" s="65">
        <v>0.0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8"/>
      <c r="C39" s="76"/>
      <c r="D39" s="59"/>
      <c r="E39" s="65">
        <f t="shared" si="11"/>
        <v>0</v>
      </c>
      <c r="F39" s="61"/>
      <c r="G39" s="78"/>
      <c r="H39" s="113" t="s">
        <v>223</v>
      </c>
      <c r="I39" s="114">
        <f>I36-I38</f>
        <v>0</v>
      </c>
      <c r="J39" s="115"/>
      <c r="K39" s="1"/>
      <c r="L39" s="116" t="s">
        <v>258</v>
      </c>
      <c r="M39" s="117">
        <f>M38+M37</f>
        <v>0</v>
      </c>
      <c r="N39" s="95" t="s">
        <v>259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3"/>
      <c r="C40" s="93"/>
      <c r="D40" s="59"/>
      <c r="E40" s="104">
        <f t="shared" si="11"/>
        <v>0</v>
      </c>
      <c r="F40" s="105"/>
      <c r="G40" s="118"/>
      <c r="H40" s="118"/>
      <c r="I40" s="118"/>
      <c r="J40" s="1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0"/>
      <c r="C41" s="76"/>
      <c r="D41" s="59"/>
      <c r="E41" s="65">
        <f t="shared" si="11"/>
        <v>0</v>
      </c>
      <c r="F41" s="61"/>
      <c r="G41" s="118"/>
      <c r="H41" s="118"/>
      <c r="I41" s="118"/>
      <c r="J41" s="118"/>
      <c r="K41" s="1"/>
      <c r="L41" s="58" t="s">
        <v>260</v>
      </c>
      <c r="M41" s="59"/>
      <c r="N41" s="95" t="s">
        <v>261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3"/>
      <c r="C42" s="93"/>
      <c r="D42" s="59"/>
      <c r="E42" s="104">
        <f t="shared" si="11"/>
        <v>0</v>
      </c>
      <c r="F42" s="105"/>
      <c r="G42" s="118"/>
      <c r="H42" s="118"/>
      <c r="I42" s="118"/>
      <c r="J42" s="1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8"/>
      <c r="C43" s="76"/>
      <c r="D43" s="59"/>
      <c r="E43" s="65">
        <f t="shared" si="11"/>
        <v>0</v>
      </c>
      <c r="F43" s="109"/>
      <c r="G43" s="118"/>
      <c r="H43" s="118"/>
      <c r="I43" s="118"/>
      <c r="J43" s="1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3"/>
      <c r="C44" s="93"/>
      <c r="D44" s="59"/>
      <c r="E44" s="104">
        <f t="shared" si="11"/>
        <v>0</v>
      </c>
      <c r="F44" s="105"/>
      <c r="G44" s="118"/>
      <c r="H44" s="118"/>
      <c r="I44" s="118"/>
      <c r="J44" s="1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8"/>
      <c r="C45" s="76"/>
      <c r="D45" s="59"/>
      <c r="E45" s="65">
        <f t="shared" si="11"/>
        <v>0</v>
      </c>
      <c r="F45" s="109"/>
      <c r="G45" s="118"/>
      <c r="H45" s="118"/>
      <c r="I45" s="118"/>
      <c r="J45" s="1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3"/>
      <c r="C46" s="93"/>
      <c r="D46" s="59"/>
      <c r="E46" s="104">
        <f t="shared" si="11"/>
        <v>0</v>
      </c>
      <c r="F46" s="105"/>
      <c r="G46" s="118"/>
      <c r="H46" s="118"/>
      <c r="I46" s="118"/>
      <c r="J46" s="1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8"/>
      <c r="C47" s="76"/>
      <c r="D47" s="59"/>
      <c r="E47" s="65">
        <f t="shared" si="11"/>
        <v>0</v>
      </c>
      <c r="F47" s="61"/>
      <c r="G47" s="118"/>
      <c r="H47" s="118"/>
      <c r="I47" s="118"/>
      <c r="J47" s="1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3"/>
      <c r="C48" s="93"/>
      <c r="D48" s="59"/>
      <c r="E48" s="104">
        <f t="shared" si="11"/>
        <v>0</v>
      </c>
      <c r="F48" s="105"/>
      <c r="G48" s="118"/>
      <c r="H48" s="118"/>
      <c r="I48" s="118"/>
      <c r="J48" s="1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8"/>
      <c r="C49" s="76"/>
      <c r="D49" s="59"/>
      <c r="E49" s="65">
        <f t="shared" si="11"/>
        <v>0</v>
      </c>
      <c r="F49" s="61"/>
      <c r="G49" s="118"/>
      <c r="H49" s="118"/>
      <c r="I49" s="118"/>
      <c r="J49" s="1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3"/>
      <c r="C50" s="93"/>
      <c r="D50" s="59"/>
      <c r="E50" s="104">
        <f t="shared" si="11"/>
        <v>0</v>
      </c>
      <c r="F50" s="105"/>
      <c r="G50" s="118"/>
      <c r="H50" s="118"/>
      <c r="I50" s="118"/>
      <c r="J50" s="1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8"/>
      <c r="C51" s="76"/>
      <c r="D51" s="59"/>
      <c r="E51" s="65">
        <f t="shared" si="11"/>
        <v>0</v>
      </c>
      <c r="F51" s="109"/>
      <c r="G51" s="118"/>
      <c r="H51" s="118"/>
      <c r="I51" s="118"/>
      <c r="J51" s="1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6.25" customHeight="1">
      <c r="A52" s="1"/>
      <c r="B52" s="103"/>
      <c r="C52" s="93"/>
      <c r="D52" s="59"/>
      <c r="E52" s="104">
        <f t="shared" si="11"/>
        <v>0</v>
      </c>
      <c r="F52" s="109"/>
      <c r="G52" s="118"/>
      <c r="H52" s="118"/>
      <c r="I52" s="118"/>
      <c r="J52" s="1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8"/>
      <c r="C53" s="76"/>
      <c r="D53" s="59"/>
      <c r="E53" s="65">
        <f t="shared" si="11"/>
        <v>0</v>
      </c>
      <c r="F53" s="109"/>
      <c r="G53" s="118"/>
      <c r="H53" s="118"/>
      <c r="I53" s="118"/>
      <c r="J53" s="1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2" t="s">
        <v>262</v>
      </c>
      <c r="C54" s="73">
        <f t="shared" ref="C54:D54" si="12">SUM(C34:C53)</f>
        <v>0</v>
      </c>
      <c r="D54" s="73">
        <f t="shared" si="12"/>
        <v>0</v>
      </c>
      <c r="E54" s="73">
        <f t="shared" si="11"/>
        <v>0</v>
      </c>
      <c r="F54" s="74"/>
      <c r="G54" s="118"/>
      <c r="H54" s="119"/>
      <c r="I54" s="120"/>
      <c r="J54" s="1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18"/>
      <c r="H55" s="119"/>
      <c r="I55" s="121"/>
      <c r="J55" s="1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2" t="s">
        <v>263</v>
      </c>
      <c r="C56" s="123">
        <f>C16+C30+D54</f>
        <v>0</v>
      </c>
      <c r="D56" s="124"/>
      <c r="E56" s="124"/>
      <c r="F56" s="1"/>
      <c r="G56" s="118"/>
      <c r="H56" s="119"/>
      <c r="I56" s="121"/>
      <c r="J56" s="1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18"/>
      <c r="H57" s="118"/>
      <c r="I57" s="118"/>
      <c r="J57" s="1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5" t="s">
        <v>264</v>
      </c>
      <c r="H58" s="46"/>
      <c r="I58" s="46"/>
      <c r="J58" s="4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6"/>
      <c r="H59" s="56" t="s">
        <v>3</v>
      </c>
      <c r="I59" s="56" t="s">
        <v>133</v>
      </c>
      <c r="J59" s="5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6"/>
      <c r="H60" s="127" t="s">
        <v>223</v>
      </c>
      <c r="I60" s="128">
        <f>I39</f>
        <v>0</v>
      </c>
      <c r="J60" s="12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6"/>
      <c r="H61" s="127" t="s">
        <v>265</v>
      </c>
      <c r="I61" s="130">
        <f>C29</f>
        <v>0</v>
      </c>
      <c r="J61" s="131" t="s">
        <v>266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2"/>
      <c r="H62" s="72" t="s">
        <v>267</v>
      </c>
      <c r="I62" s="73">
        <f>I60+I61+M37-M41</f>
        <v>0</v>
      </c>
      <c r="J62" s="133" t="s">
        <v>268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18"/>
      <c r="H63" s="118"/>
      <c r="I63" s="118"/>
      <c r="J63" s="1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6"/>
      <c r="H64" s="127" t="s">
        <v>269</v>
      </c>
      <c r="I64" s="130">
        <f>D54</f>
        <v>0</v>
      </c>
      <c r="J64" s="131" t="s">
        <v>270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2"/>
      <c r="H65" s="72" t="s">
        <v>271</v>
      </c>
      <c r="I65" s="73">
        <f>-I64</f>
        <v>0</v>
      </c>
      <c r="J65" s="133" t="s">
        <v>272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18"/>
      <c r="H66" s="118"/>
      <c r="I66" s="118"/>
      <c r="J66" s="1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6"/>
      <c r="H67" s="127" t="s">
        <v>273</v>
      </c>
      <c r="I67" s="130" t="str">
        <f>C6</f>
        <v/>
      </c>
      <c r="J67" s="12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2"/>
      <c r="H68" s="72" t="s">
        <v>274</v>
      </c>
      <c r="I68" s="73" t="str">
        <f>I67</f>
        <v/>
      </c>
      <c r="J68" s="1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18"/>
      <c r="H69" s="118"/>
      <c r="I69" s="118"/>
      <c r="J69" s="1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3" t="s">
        <v>275</v>
      </c>
      <c r="H70" s="46"/>
      <c r="I70" s="46"/>
      <c r="J70" s="4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4"/>
      <c r="H71" s="58" t="s">
        <v>276</v>
      </c>
      <c r="I71" s="135" t="str">
        <f>C5</f>
        <v/>
      </c>
      <c r="J71" s="13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4"/>
      <c r="H72" s="58" t="s">
        <v>277</v>
      </c>
      <c r="I72" s="104">
        <f>I62</f>
        <v>0</v>
      </c>
      <c r="J72" s="13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4"/>
      <c r="H73" s="58" t="s">
        <v>278</v>
      </c>
      <c r="I73" s="104">
        <f>I65</f>
        <v>0</v>
      </c>
      <c r="J73" s="1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4"/>
      <c r="H74" s="58" t="s">
        <v>279</v>
      </c>
      <c r="I74" s="104" t="str">
        <f>I68</f>
        <v/>
      </c>
      <c r="J74" s="1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6"/>
      <c r="H75" s="137" t="s">
        <v>280</v>
      </c>
      <c r="I75" s="138">
        <f>I71+I72+I73+I74</f>
        <v>0</v>
      </c>
      <c r="J75" s="139" t="s">
        <v>281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18"/>
      <c r="H76" s="118"/>
      <c r="I76" s="118"/>
      <c r="J76" s="1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18"/>
      <c r="H77" s="95" t="s">
        <v>282</v>
      </c>
      <c r="I77" s="118"/>
      <c r="J77" s="1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4"/>
      <c r="H78" s="140" t="s">
        <v>283</v>
      </c>
      <c r="I78" s="141">
        <f>I39</f>
        <v>0</v>
      </c>
      <c r="J78" s="1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4"/>
      <c r="H79" s="140" t="s">
        <v>284</v>
      </c>
      <c r="I79" s="141">
        <f>I72+I73+I74</f>
        <v>0</v>
      </c>
      <c r="J79" s="1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2"/>
      <c r="H80" s="143" t="s">
        <v>285</v>
      </c>
      <c r="I80" s="144">
        <f>I79-I78</f>
        <v>0</v>
      </c>
      <c r="J80" s="143" t="s">
        <v>286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18"/>
      <c r="H81" s="118"/>
      <c r="I81" s="118"/>
      <c r="J81" s="1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6"/>
      <c r="H82" s="145" t="s">
        <v>287</v>
      </c>
      <c r="I82" s="146">
        <f>I75</f>
        <v>0</v>
      </c>
      <c r="J82" s="147" t="s">
        <v>288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48"/>
      <c r="H83" s="149" t="s">
        <v>289</v>
      </c>
      <c r="I83" s="150">
        <f>I75-M37</f>
        <v>0</v>
      </c>
      <c r="J83" s="151" t="s">
        <v>290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18"/>
      <c r="H84" s="118"/>
      <c r="I84" s="118"/>
      <c r="J84" s="1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4" t="s">
        <v>291</v>
      </c>
      <c r="K1" s="1"/>
      <c r="L1" s="1"/>
      <c r="M1" s="1"/>
      <c r="N1" s="1"/>
      <c r="O1" s="1"/>
      <c r="P1" s="1"/>
      <c r="Q1" s="1"/>
      <c r="R1" s="1"/>
      <c r="S1" s="1"/>
      <c r="T1" s="1"/>
      <c r="U1" s="45" t="s">
        <v>137</v>
      </c>
      <c r="V1" s="46"/>
      <c r="W1" s="46"/>
      <c r="X1" s="46"/>
      <c r="Y1" s="46"/>
      <c r="Z1" s="1"/>
    </row>
    <row r="2" ht="21.0" customHeight="1">
      <c r="A2" s="1"/>
      <c r="B2" s="47" t="s">
        <v>138</v>
      </c>
      <c r="C2" s="48">
        <f>I75</f>
        <v>2886000</v>
      </c>
      <c r="D2" s="1"/>
      <c r="E2" s="49" t="s">
        <v>139</v>
      </c>
      <c r="F2" s="50">
        <f>C16+SUM(C20:C23)+SUM(C25:C28)+M36+D54+M41</f>
        <v>114000</v>
      </c>
      <c r="G2" s="1"/>
      <c r="H2" s="49" t="s">
        <v>140</v>
      </c>
      <c r="I2" s="51">
        <f>I39</f>
        <v>0</v>
      </c>
      <c r="J2" s="1"/>
      <c r="K2" s="1"/>
      <c r="L2" s="47" t="s">
        <v>141</v>
      </c>
      <c r="M2" s="52">
        <f>'6月'!C20+'6月'!C21+'6月'!C22+'6月'!C23+'6月'!C25</f>
        <v>0</v>
      </c>
      <c r="N2" s="1"/>
      <c r="O2" s="1"/>
      <c r="P2" s="1"/>
      <c r="Q2" s="1"/>
      <c r="R2" s="1"/>
      <c r="S2" s="1"/>
      <c r="T2" s="1"/>
      <c r="U2" s="3" t="s">
        <v>142</v>
      </c>
      <c r="Z2" s="1"/>
    </row>
    <row r="3" ht="15.0" customHeight="1">
      <c r="A3" s="1"/>
      <c r="B3" s="53" t="s">
        <v>143</v>
      </c>
      <c r="C3" s="46"/>
      <c r="D3" s="46"/>
      <c r="E3" s="46"/>
      <c r="F3" s="1"/>
      <c r="G3" s="54" t="s">
        <v>144</v>
      </c>
      <c r="H3" s="46"/>
      <c r="I3" s="46"/>
      <c r="J3" s="46"/>
      <c r="K3" s="1"/>
      <c r="L3" s="55" t="s">
        <v>145</v>
      </c>
      <c r="M3" s="46"/>
      <c r="N3" s="46"/>
      <c r="O3" s="46"/>
      <c r="P3" s="46"/>
      <c r="Q3" s="46"/>
      <c r="R3" s="46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6" t="s">
        <v>146</v>
      </c>
      <c r="C4" s="56" t="s">
        <v>133</v>
      </c>
      <c r="D4" s="56" t="s">
        <v>147</v>
      </c>
      <c r="E4" s="56" t="s">
        <v>148</v>
      </c>
      <c r="F4" s="1"/>
      <c r="G4" s="56" t="s">
        <v>70</v>
      </c>
      <c r="H4" s="56" t="s">
        <v>133</v>
      </c>
      <c r="I4" s="56" t="s">
        <v>147</v>
      </c>
      <c r="J4" s="56" t="s">
        <v>148</v>
      </c>
      <c r="K4" s="1"/>
      <c r="L4" s="56" t="s">
        <v>149</v>
      </c>
      <c r="M4" s="56" t="s">
        <v>150</v>
      </c>
      <c r="N4" s="56" t="s">
        <v>151</v>
      </c>
      <c r="O4" s="56" t="s">
        <v>152</v>
      </c>
      <c r="P4" s="56" t="s">
        <v>153</v>
      </c>
      <c r="Q4" s="56" t="s">
        <v>154</v>
      </c>
      <c r="R4" s="56" t="s">
        <v>155</v>
      </c>
      <c r="S4" s="1"/>
      <c r="T4" s="1"/>
      <c r="U4" s="57" t="s">
        <v>156</v>
      </c>
      <c r="V4" s="46"/>
      <c r="W4" s="46"/>
      <c r="X4" s="46"/>
      <c r="Y4" s="46"/>
      <c r="Z4" s="1"/>
    </row>
    <row r="5" ht="15.0" customHeight="1">
      <c r="A5" s="1"/>
      <c r="B5" s="58" t="s">
        <v>292</v>
      </c>
      <c r="C5" s="52">
        <v>3000000.0</v>
      </c>
      <c r="D5" s="60"/>
      <c r="E5" s="152" t="s">
        <v>293</v>
      </c>
      <c r="F5" s="1"/>
      <c r="G5" s="58" t="s">
        <v>158</v>
      </c>
      <c r="H5" s="52">
        <f>'5月日次売上'!C35</f>
        <v>0</v>
      </c>
      <c r="I5" s="60"/>
      <c r="J5" s="152"/>
      <c r="K5" s="1"/>
      <c r="L5" s="60"/>
      <c r="M5" s="59"/>
      <c r="N5" s="63"/>
      <c r="O5" s="64"/>
      <c r="P5" s="59"/>
      <c r="Q5" s="65">
        <f t="shared" ref="Q5:Q12" si="1">M5*N5*O5</f>
        <v>0</v>
      </c>
      <c r="R5" s="65">
        <f t="shared" ref="R5:R12" si="2">P5*N5</f>
        <v>0</v>
      </c>
      <c r="S5" s="1"/>
      <c r="T5" s="1"/>
      <c r="U5" s="66" t="s">
        <v>3</v>
      </c>
      <c r="V5" s="67" t="s">
        <v>159</v>
      </c>
      <c r="W5" s="67" t="s">
        <v>160</v>
      </c>
      <c r="X5" s="67" t="s">
        <v>161</v>
      </c>
      <c r="Y5" s="66" t="s">
        <v>162</v>
      </c>
      <c r="Z5" s="1"/>
    </row>
    <row r="6" ht="15.0" customHeight="1">
      <c r="A6" s="1"/>
      <c r="B6" s="58" t="s">
        <v>163</v>
      </c>
      <c r="C6" s="59"/>
      <c r="D6" s="60"/>
      <c r="E6" s="152"/>
      <c r="F6" s="1"/>
      <c r="G6" s="58" t="s">
        <v>164</v>
      </c>
      <c r="H6" s="52">
        <f>'5月日次売上'!D35</f>
        <v>0</v>
      </c>
      <c r="I6" s="60"/>
      <c r="J6" s="152"/>
      <c r="K6" s="1"/>
      <c r="L6" s="60"/>
      <c r="M6" s="59"/>
      <c r="N6" s="63"/>
      <c r="O6" s="64"/>
      <c r="P6" s="59"/>
      <c r="Q6" s="65">
        <f t="shared" si="1"/>
        <v>0</v>
      </c>
      <c r="R6" s="65">
        <f t="shared" si="2"/>
        <v>0</v>
      </c>
      <c r="S6" s="1"/>
      <c r="T6" s="1"/>
      <c r="U6" s="6" t="s">
        <v>165</v>
      </c>
      <c r="V6" s="69">
        <f>'売上計画'!D38</f>
        <v>0</v>
      </c>
      <c r="W6" s="70" t="str">
        <f>IF(H26=0,"",H24/H26/2)</f>
        <v/>
      </c>
      <c r="X6" s="69">
        <f t="shared" ref="X6:X7" si="3">IF(W6="",0,W6-V6)</f>
        <v>0</v>
      </c>
      <c r="Y6" s="71">
        <f t="shared" ref="Y6:Y7" si="4">IF(OR(W6="",V6=0),0,W6/V6)</f>
        <v>0</v>
      </c>
      <c r="Z6" s="1"/>
    </row>
    <row r="7" ht="15.0" customHeight="1">
      <c r="A7" s="1"/>
      <c r="B7" s="72" t="s">
        <v>166</v>
      </c>
      <c r="C7" s="73">
        <f>SUM(C5:C6)</f>
        <v>3000000</v>
      </c>
      <c r="D7" s="74"/>
      <c r="E7" s="74"/>
      <c r="F7" s="1"/>
      <c r="G7" s="58" t="s">
        <v>167</v>
      </c>
      <c r="H7" s="52">
        <f>'5月日次売上'!E35</f>
        <v>0</v>
      </c>
      <c r="I7" s="60"/>
      <c r="J7" s="152"/>
      <c r="K7" s="1"/>
      <c r="L7" s="60"/>
      <c r="M7" s="59"/>
      <c r="N7" s="63"/>
      <c r="O7" s="64"/>
      <c r="P7" s="59"/>
      <c r="Q7" s="65">
        <f t="shared" si="1"/>
        <v>0</v>
      </c>
      <c r="R7" s="65">
        <f t="shared" si="2"/>
        <v>0</v>
      </c>
      <c r="S7" s="1"/>
      <c r="T7" s="1"/>
      <c r="U7" s="6" t="s">
        <v>168</v>
      </c>
      <c r="V7" s="69">
        <f>'売上計画'!D39</f>
        <v>0</v>
      </c>
      <c r="W7" s="70" t="str">
        <f>IF(H26=0,"",H24/H26/2)</f>
        <v/>
      </c>
      <c r="X7" s="69">
        <f t="shared" si="3"/>
        <v>0</v>
      </c>
      <c r="Y7" s="71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58" t="s">
        <v>169</v>
      </c>
      <c r="H8" s="52">
        <f>'5月日次売上'!F35</f>
        <v>0</v>
      </c>
      <c r="I8" s="60"/>
      <c r="J8" s="152"/>
      <c r="K8" s="1"/>
      <c r="L8" s="60"/>
      <c r="M8" s="59"/>
      <c r="N8" s="63"/>
      <c r="O8" s="64"/>
      <c r="P8" s="59"/>
      <c r="Q8" s="65">
        <f t="shared" si="1"/>
        <v>0</v>
      </c>
      <c r="R8" s="65">
        <f t="shared" si="2"/>
        <v>0</v>
      </c>
      <c r="S8" s="1"/>
      <c r="T8" s="1"/>
      <c r="U8" s="6" t="s">
        <v>170</v>
      </c>
      <c r="V8" s="69">
        <f>'売上計画'!D45</f>
        <v>0</v>
      </c>
      <c r="W8" s="69">
        <f>H20</f>
        <v>0</v>
      </c>
      <c r="X8" s="69">
        <f t="shared" ref="X8:X9" si="5">W8-V8</f>
        <v>0</v>
      </c>
      <c r="Y8" s="71">
        <f t="shared" ref="Y8:Y9" si="6">IF(V8=0,0,W8/V8)</f>
        <v>0</v>
      </c>
      <c r="Z8" s="1"/>
    </row>
    <row r="9" ht="15.0" customHeight="1">
      <c r="A9" s="1"/>
      <c r="B9" s="75" t="s">
        <v>171</v>
      </c>
      <c r="C9" s="46"/>
      <c r="D9" s="46"/>
      <c r="E9" s="46"/>
      <c r="F9" s="1"/>
      <c r="G9" s="58" t="s">
        <v>172</v>
      </c>
      <c r="H9" s="52">
        <f>'5月日次売上'!G35</f>
        <v>0</v>
      </c>
      <c r="I9" s="60"/>
      <c r="J9" s="152"/>
      <c r="K9" s="1"/>
      <c r="L9" s="60"/>
      <c r="M9" s="59"/>
      <c r="N9" s="63"/>
      <c r="O9" s="64"/>
      <c r="P9" s="59"/>
      <c r="Q9" s="65">
        <f t="shared" si="1"/>
        <v>0</v>
      </c>
      <c r="R9" s="65">
        <f t="shared" si="2"/>
        <v>0</v>
      </c>
      <c r="S9" s="1"/>
      <c r="T9" s="1"/>
      <c r="U9" s="6" t="s">
        <v>173</v>
      </c>
      <c r="V9" s="69">
        <f>IF((V6*'売上計画'!$C$7+V7*'売上計画'!$C$8)=0,0,V8/(V6*'売上計画'!$C$7+V7*'売上計画'!$C$8))</f>
        <v>0</v>
      </c>
      <c r="W9" s="69">
        <f>H25</f>
        <v>0</v>
      </c>
      <c r="X9" s="69">
        <f t="shared" si="5"/>
        <v>0</v>
      </c>
      <c r="Y9" s="71">
        <f t="shared" si="6"/>
        <v>0</v>
      </c>
      <c r="Z9" s="1"/>
    </row>
    <row r="10" ht="15.0" customHeight="1">
      <c r="A10" s="1"/>
      <c r="B10" s="56" t="s">
        <v>146</v>
      </c>
      <c r="C10" s="56" t="s">
        <v>133</v>
      </c>
      <c r="D10" s="56" t="s">
        <v>147</v>
      </c>
      <c r="E10" s="56" t="s">
        <v>148</v>
      </c>
      <c r="F10" s="1"/>
      <c r="G10" s="58" t="s">
        <v>174</v>
      </c>
      <c r="H10" s="52">
        <f>'5月日次売上'!H35</f>
        <v>0</v>
      </c>
      <c r="I10" s="60"/>
      <c r="J10" s="152"/>
      <c r="K10" s="1"/>
      <c r="L10" s="60"/>
      <c r="M10" s="59"/>
      <c r="N10" s="63"/>
      <c r="O10" s="64"/>
      <c r="P10" s="59"/>
      <c r="Q10" s="65">
        <f t="shared" si="1"/>
        <v>0</v>
      </c>
      <c r="R10" s="65">
        <f t="shared" si="2"/>
        <v>0</v>
      </c>
      <c r="S10" s="1"/>
      <c r="T10" s="1"/>
      <c r="U10" s="1"/>
      <c r="V10" s="70"/>
      <c r="W10" s="70"/>
      <c r="X10" s="70"/>
      <c r="Y10" s="1"/>
      <c r="Z10" s="1"/>
    </row>
    <row r="11" ht="15.0" customHeight="1">
      <c r="A11" s="1"/>
      <c r="B11" s="58" t="s">
        <v>175</v>
      </c>
      <c r="C11" s="76">
        <f>SUMIFS('freee実績'!$E:$E,'freee実績'!$B:$B,"2026-05",'freee実績'!$C:$C,"仕入高",'freee実績'!$D:$D,"コーヒー豆・茶葉")</f>
        <v>0</v>
      </c>
      <c r="D11" s="60"/>
      <c r="E11" s="152"/>
      <c r="F11" s="1"/>
      <c r="G11" s="72" t="s">
        <v>176</v>
      </c>
      <c r="H11" s="73">
        <f>SUM(H5:H10)</f>
        <v>0</v>
      </c>
      <c r="I11" s="74"/>
      <c r="J11" s="74"/>
      <c r="K11" s="1"/>
      <c r="L11" s="60"/>
      <c r="M11" s="59"/>
      <c r="N11" s="63"/>
      <c r="O11" s="64"/>
      <c r="P11" s="59"/>
      <c r="Q11" s="65">
        <f t="shared" si="1"/>
        <v>0</v>
      </c>
      <c r="R11" s="65">
        <f t="shared" si="2"/>
        <v>0</v>
      </c>
      <c r="S11" s="1"/>
      <c r="T11" s="1"/>
      <c r="U11" s="57" t="s">
        <v>177</v>
      </c>
      <c r="V11" s="46"/>
      <c r="W11" s="46"/>
      <c r="X11" s="46"/>
      <c r="Y11" s="46"/>
      <c r="Z11" s="1"/>
    </row>
    <row r="12" ht="15.0" customHeight="1">
      <c r="A12" s="1"/>
      <c r="B12" s="58" t="s">
        <v>178</v>
      </c>
      <c r="C12" s="76">
        <f>SUMIFS('freee実績'!$E:$E,'freee実績'!$B:$B,"2026-05",'freee実績'!$C:$C,"仕入高",'freee実績'!$D:$D,"牛乳・シロップ等")</f>
        <v>0</v>
      </c>
      <c r="D12" s="60"/>
      <c r="E12" s="152"/>
      <c r="F12" s="1"/>
      <c r="G12" s="1"/>
      <c r="H12" s="1"/>
      <c r="I12" s="1"/>
      <c r="J12" s="1"/>
      <c r="K12" s="1"/>
      <c r="L12" s="60"/>
      <c r="M12" s="59"/>
      <c r="N12" s="63"/>
      <c r="O12" s="64"/>
      <c r="P12" s="59"/>
      <c r="Q12" s="65">
        <f t="shared" si="1"/>
        <v>0</v>
      </c>
      <c r="R12" s="65">
        <f t="shared" si="2"/>
        <v>0</v>
      </c>
      <c r="S12" s="1"/>
      <c r="T12" s="1"/>
      <c r="U12" s="66" t="s">
        <v>3</v>
      </c>
      <c r="V12" s="67" t="s">
        <v>159</v>
      </c>
      <c r="W12" s="67" t="s">
        <v>160</v>
      </c>
      <c r="X12" s="67" t="s">
        <v>161</v>
      </c>
      <c r="Y12" s="66" t="s">
        <v>179</v>
      </c>
      <c r="Z12" s="1"/>
    </row>
    <row r="13" ht="15.0" customHeight="1">
      <c r="A13" s="1"/>
      <c r="B13" s="58" t="s">
        <v>180</v>
      </c>
      <c r="C13" s="76">
        <f>SUMIFS('freee実績'!$E:$E,'freee実績'!$B:$B,"2026-05",'freee実績'!$C:$C,"仕入高",'freee実績'!$D:$D,"フード材料費")</f>
        <v>0</v>
      </c>
      <c r="D13" s="60"/>
      <c r="E13" s="152"/>
      <c r="F13" s="1"/>
      <c r="G13" s="54" t="s">
        <v>181</v>
      </c>
      <c r="H13" s="46"/>
      <c r="I13" s="46"/>
      <c r="J13" s="46"/>
      <c r="K13" s="1"/>
      <c r="L13" s="72" t="s">
        <v>182</v>
      </c>
      <c r="M13" s="74"/>
      <c r="N13" s="74"/>
      <c r="O13" s="74"/>
      <c r="P13" s="74"/>
      <c r="Q13" s="73">
        <f t="shared" ref="Q13:R13" si="7">SUM(Q5:Q12)</f>
        <v>0</v>
      </c>
      <c r="R13" s="73">
        <f t="shared" si="7"/>
        <v>0</v>
      </c>
      <c r="S13" s="1"/>
      <c r="T13" s="1"/>
      <c r="U13" s="6" t="s">
        <v>183</v>
      </c>
      <c r="V13" s="69">
        <f>'売上計画'!D46</f>
        <v>0</v>
      </c>
      <c r="W13" s="69">
        <f>C16</f>
        <v>0</v>
      </c>
      <c r="X13" s="69">
        <f t="shared" ref="X13:X14" si="8">W13-V13</f>
        <v>0</v>
      </c>
      <c r="Y13" s="71">
        <f>IF(W8=0,0,W13/W8)</f>
        <v>0</v>
      </c>
      <c r="Z13" s="1"/>
    </row>
    <row r="14" ht="15.0" customHeight="1">
      <c r="A14" s="1"/>
      <c r="B14" s="58" t="s">
        <v>184</v>
      </c>
      <c r="C14" s="76">
        <f>SUMIFS('freee実績'!$E:$E,'freee実績'!$B:$B,"2026-05",'freee実績'!$C:$C,"仕入高",'freee実績'!$D:$D,"包装資材・消耗品")</f>
        <v>0</v>
      </c>
      <c r="D14" s="60"/>
      <c r="E14" s="152"/>
      <c r="F14" s="1"/>
      <c r="G14" s="56" t="s">
        <v>70</v>
      </c>
      <c r="H14" s="56" t="s">
        <v>133</v>
      </c>
      <c r="I14" s="56" t="s">
        <v>147</v>
      </c>
      <c r="J14" s="56" t="s">
        <v>148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185</v>
      </c>
      <c r="V14" s="69">
        <f>'売上計画'!D47</f>
        <v>0</v>
      </c>
      <c r="W14" s="69">
        <f>H20-C16</f>
        <v>0</v>
      </c>
      <c r="X14" s="69">
        <f t="shared" si="8"/>
        <v>0</v>
      </c>
      <c r="Y14" s="71">
        <f>IF(W8=0,0,W14/W8)</f>
        <v>0</v>
      </c>
      <c r="Z14" s="1"/>
    </row>
    <row r="15" ht="15.0" customHeight="1">
      <c r="A15" s="1"/>
      <c r="B15" s="58" t="s">
        <v>186</v>
      </c>
      <c r="C15" s="76">
        <f>SUMIFS('freee実績'!$E:$E,'freee実績'!$B:$B,"2026-05",'freee実績'!$C:$C,"仕入高",'freee実績'!$D:$D,"その他原価")</f>
        <v>0</v>
      </c>
      <c r="D15" s="60"/>
      <c r="E15" s="152"/>
      <c r="F15" s="1"/>
      <c r="G15" s="58" t="s">
        <v>187</v>
      </c>
      <c r="H15" s="52">
        <f>'5月日次売上'!I35</f>
        <v>0</v>
      </c>
      <c r="I15" s="60"/>
      <c r="J15" s="152"/>
      <c r="K15" s="1"/>
      <c r="L15" s="77" t="s">
        <v>188</v>
      </c>
      <c r="M15" s="46"/>
      <c r="N15" s="46"/>
      <c r="O15" s="46"/>
      <c r="P15" s="46"/>
      <c r="Q15" s="46"/>
      <c r="R15" s="46"/>
      <c r="S15" s="1"/>
      <c r="T15" s="1"/>
      <c r="U15" s="1"/>
      <c r="V15" s="70"/>
      <c r="W15" s="70"/>
      <c r="X15" s="70"/>
      <c r="Y15" s="1"/>
      <c r="Z15" s="1"/>
    </row>
    <row r="16" ht="15.0" customHeight="1">
      <c r="A16" s="1"/>
      <c r="B16" s="72" t="s">
        <v>189</v>
      </c>
      <c r="C16" s="73">
        <f>SUM(C11:C15)</f>
        <v>0</v>
      </c>
      <c r="D16" s="74"/>
      <c r="E16" s="74"/>
      <c r="F16" s="1"/>
      <c r="G16" s="58" t="s">
        <v>190</v>
      </c>
      <c r="H16" s="76"/>
      <c r="I16" s="60"/>
      <c r="J16" s="152"/>
      <c r="K16" s="1"/>
      <c r="L16" s="56" t="s">
        <v>3</v>
      </c>
      <c r="M16" s="56" t="s">
        <v>191</v>
      </c>
      <c r="N16" s="56"/>
      <c r="O16" s="56"/>
      <c r="P16" s="56"/>
      <c r="Q16" s="56"/>
      <c r="R16" s="56" t="s">
        <v>5</v>
      </c>
      <c r="S16" s="1"/>
      <c r="T16" s="1"/>
      <c r="U16" s="57" t="s">
        <v>192</v>
      </c>
      <c r="V16" s="46"/>
      <c r="W16" s="46"/>
      <c r="X16" s="46"/>
      <c r="Y16" s="46"/>
      <c r="Z16" s="1"/>
    </row>
    <row r="17" ht="15.0" customHeight="1">
      <c r="A17" s="1"/>
      <c r="B17" s="1"/>
      <c r="C17" s="1"/>
      <c r="D17" s="1"/>
      <c r="E17" s="1"/>
      <c r="F17" s="1"/>
      <c r="G17" s="58" t="s">
        <v>193</v>
      </c>
      <c r="H17" s="76"/>
      <c r="I17" s="60"/>
      <c r="J17" s="152"/>
      <c r="K17" s="1"/>
      <c r="L17" s="58" t="s">
        <v>194</v>
      </c>
      <c r="M17" s="59"/>
      <c r="N17" s="78"/>
      <c r="O17" s="78"/>
      <c r="P17" s="78"/>
      <c r="Q17" s="78"/>
      <c r="R17" s="152"/>
      <c r="S17" s="1"/>
      <c r="T17" s="1"/>
      <c r="U17" s="66" t="s">
        <v>3</v>
      </c>
      <c r="V17" s="67" t="s">
        <v>159</v>
      </c>
      <c r="W17" s="67" t="s">
        <v>160</v>
      </c>
      <c r="X17" s="67" t="s">
        <v>161</v>
      </c>
      <c r="Y17" s="1"/>
      <c r="Z17" s="1"/>
    </row>
    <row r="18" ht="15.0" customHeight="1">
      <c r="A18" s="1"/>
      <c r="B18" s="77" t="s">
        <v>195</v>
      </c>
      <c r="C18" s="46"/>
      <c r="D18" s="46"/>
      <c r="E18" s="46"/>
      <c r="F18" s="1"/>
      <c r="G18" s="72" t="s">
        <v>196</v>
      </c>
      <c r="H18" s="73">
        <f>SUM(H15:H17)</f>
        <v>0</v>
      </c>
      <c r="I18" s="74"/>
      <c r="J18" s="74"/>
      <c r="K18" s="1"/>
      <c r="L18" s="58" t="s">
        <v>197</v>
      </c>
      <c r="M18" s="59"/>
      <c r="N18" s="78"/>
      <c r="O18" s="78"/>
      <c r="P18" s="78"/>
      <c r="Q18" s="78"/>
      <c r="R18" s="152"/>
      <c r="S18" s="1"/>
      <c r="T18" s="1"/>
      <c r="U18" s="6" t="s">
        <v>198</v>
      </c>
      <c r="V18" s="69">
        <f>'売上計画'!D54</f>
        <v>0</v>
      </c>
      <c r="W18" s="69">
        <f>C24</f>
        <v>0</v>
      </c>
      <c r="X18" s="69">
        <f t="shared" ref="X18:X21" si="9">W18-V18</f>
        <v>0</v>
      </c>
      <c r="Y18" s="1"/>
      <c r="Z18" s="1"/>
    </row>
    <row r="19" ht="15.0" customHeight="1">
      <c r="A19" s="1"/>
      <c r="B19" s="56" t="s">
        <v>146</v>
      </c>
      <c r="C19" s="56" t="s">
        <v>133</v>
      </c>
      <c r="D19" s="56" t="s">
        <v>147</v>
      </c>
      <c r="E19" s="56" t="s">
        <v>148</v>
      </c>
      <c r="F19" s="1"/>
      <c r="G19" s="1"/>
      <c r="H19" s="1"/>
      <c r="I19" s="1"/>
      <c r="J19" s="1"/>
      <c r="K19" s="1"/>
      <c r="L19" s="58" t="s">
        <v>199</v>
      </c>
      <c r="M19" s="59"/>
      <c r="N19" s="78"/>
      <c r="O19" s="78"/>
      <c r="P19" s="78"/>
      <c r="Q19" s="78"/>
      <c r="R19" s="152"/>
      <c r="S19" s="1"/>
      <c r="T19" s="1"/>
      <c r="U19" s="6" t="s">
        <v>200</v>
      </c>
      <c r="V19" s="69">
        <f>'売上計画'!D57</f>
        <v>0</v>
      </c>
      <c r="W19" s="69">
        <f>C20+C21+C22+C23</f>
        <v>0</v>
      </c>
      <c r="X19" s="69">
        <f t="shared" si="9"/>
        <v>0</v>
      </c>
      <c r="Y19" s="1"/>
      <c r="Z19" s="1"/>
    </row>
    <row r="20" ht="15.0" customHeight="1">
      <c r="A20" s="1"/>
      <c r="B20" s="79" t="s">
        <v>201</v>
      </c>
      <c r="C20" s="80">
        <f>SUMIFS('freee実績'!$E:$E,'freee実績'!$B:$B,"2026-05",'freee実績'!$C:$C,"地代家賃")</f>
        <v>0</v>
      </c>
      <c r="D20" s="81" t="s">
        <v>202</v>
      </c>
      <c r="E20" s="152"/>
      <c r="F20" s="1"/>
      <c r="G20" s="82" t="s">
        <v>203</v>
      </c>
      <c r="H20" s="83">
        <f>H11+H18</f>
        <v>0</v>
      </c>
      <c r="I20" s="84"/>
      <c r="J20" s="84"/>
      <c r="K20" s="1"/>
      <c r="L20" s="58" t="s">
        <v>204</v>
      </c>
      <c r="M20" s="59"/>
      <c r="N20" s="78"/>
      <c r="O20" s="78"/>
      <c r="P20" s="78"/>
      <c r="Q20" s="78"/>
      <c r="R20" s="152"/>
      <c r="S20" s="1"/>
      <c r="T20" s="1"/>
      <c r="U20" s="6" t="s">
        <v>205</v>
      </c>
      <c r="V20" s="69">
        <f>'売上計画'!D58</f>
        <v>0</v>
      </c>
      <c r="W20" s="69">
        <f>C25</f>
        <v>0</v>
      </c>
      <c r="X20" s="69">
        <f t="shared" si="9"/>
        <v>0</v>
      </c>
      <c r="Y20" s="1"/>
      <c r="Z20" s="1"/>
    </row>
    <row r="21" ht="15.0" customHeight="1">
      <c r="A21" s="1"/>
      <c r="B21" s="79" t="s">
        <v>206</v>
      </c>
      <c r="C21" s="80">
        <f>SUMIFS('freee実績'!$E:$E,'freee実績'!$B:$B,"2026-05",'freee実績'!$C:$C,"水道光熱費")</f>
        <v>0</v>
      </c>
      <c r="D21" s="81" t="s">
        <v>202</v>
      </c>
      <c r="E21" s="152"/>
      <c r="F21" s="1"/>
      <c r="G21" s="1"/>
      <c r="H21" s="1"/>
      <c r="I21" s="1"/>
      <c r="J21" s="1"/>
      <c r="K21" s="1"/>
      <c r="L21" s="72" t="s">
        <v>207</v>
      </c>
      <c r="M21" s="73">
        <f>SUM(M17:M20)</f>
        <v>0</v>
      </c>
      <c r="N21" s="74"/>
      <c r="O21" s="74"/>
      <c r="P21" s="74"/>
      <c r="Q21" s="74"/>
      <c r="R21" s="74"/>
      <c r="S21" s="1"/>
      <c r="T21" s="1"/>
      <c r="U21" s="6" t="s">
        <v>208</v>
      </c>
      <c r="V21" s="69">
        <f>'売上計画'!D59</f>
        <v>0</v>
      </c>
      <c r="W21" s="69">
        <f>C30</f>
        <v>0</v>
      </c>
      <c r="X21" s="69">
        <f t="shared" si="9"/>
        <v>0</v>
      </c>
      <c r="Y21" s="1"/>
      <c r="Z21" s="1"/>
    </row>
    <row r="22" ht="16.5" customHeight="1">
      <c r="A22" s="1"/>
      <c r="B22" s="79" t="s">
        <v>209</v>
      </c>
      <c r="C22" s="80">
        <f>SUMIFS('freee実績'!$E:$E,'freee実績'!$B:$B,"2026-05",'freee実績'!$C:$C,"通信費")</f>
        <v>0</v>
      </c>
      <c r="D22" s="81" t="s">
        <v>202</v>
      </c>
      <c r="E22" s="152"/>
      <c r="F22" s="1"/>
      <c r="G22" s="85" t="s">
        <v>210</v>
      </c>
      <c r="H22" s="46"/>
      <c r="I22" s="46"/>
      <c r="J22" s="4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0"/>
      <c r="W22" s="70"/>
      <c r="X22" s="70"/>
      <c r="Y22" s="1"/>
      <c r="Z22" s="1"/>
    </row>
    <row r="23" ht="15.0" customHeight="1">
      <c r="A23" s="1"/>
      <c r="B23" s="79" t="s">
        <v>211</v>
      </c>
      <c r="C23" s="80">
        <f>SUMIFS('freee実績'!$E:$E,'freee実績'!$B:$B,"2026-05",'freee実績'!$C:$C,"保険料")</f>
        <v>0</v>
      </c>
      <c r="D23" s="81" t="s">
        <v>202</v>
      </c>
      <c r="E23" s="152"/>
      <c r="F23" s="1"/>
      <c r="G23" s="56" t="s">
        <v>212</v>
      </c>
      <c r="H23" s="56" t="s">
        <v>213</v>
      </c>
      <c r="I23" s="56"/>
      <c r="J23" s="56" t="s">
        <v>214</v>
      </c>
      <c r="K23" s="1"/>
      <c r="L23" s="86" t="s">
        <v>215</v>
      </c>
      <c r="M23" s="87">
        <f>Q13+R13+M21</f>
        <v>0</v>
      </c>
      <c r="N23" s="88"/>
      <c r="O23" s="88"/>
      <c r="P23" s="88"/>
      <c r="Q23" s="88"/>
      <c r="R23" s="88"/>
      <c r="S23" s="1"/>
      <c r="T23" s="1"/>
      <c r="U23" s="57" t="s">
        <v>216</v>
      </c>
      <c r="V23" s="46"/>
      <c r="W23" s="46"/>
      <c r="X23" s="46"/>
      <c r="Y23" s="46"/>
      <c r="Z23" s="1"/>
    </row>
    <row r="24" ht="15.0" customHeight="1">
      <c r="A24" s="1"/>
      <c r="B24" s="58" t="s">
        <v>217</v>
      </c>
      <c r="C24" s="89">
        <f>M23</f>
        <v>0</v>
      </c>
      <c r="D24" s="90" t="s">
        <v>218</v>
      </c>
      <c r="E24" s="152"/>
      <c r="F24" s="1"/>
      <c r="G24" s="58" t="s">
        <v>219</v>
      </c>
      <c r="H24" s="91">
        <f>'5月日次売上'!J35</f>
        <v>0</v>
      </c>
      <c r="I24" s="78"/>
      <c r="J24" s="92"/>
      <c r="K24" s="1"/>
      <c r="L24" s="1"/>
      <c r="M24" s="1"/>
      <c r="N24" s="1"/>
      <c r="O24" s="1"/>
      <c r="P24" s="1"/>
      <c r="Q24" s="1"/>
      <c r="R24" s="1"/>
      <c r="S24" s="1"/>
      <c r="T24" s="1"/>
      <c r="U24" s="66" t="s">
        <v>3</v>
      </c>
      <c r="V24" s="67" t="s">
        <v>159</v>
      </c>
      <c r="W24" s="67" t="s">
        <v>160</v>
      </c>
      <c r="X24" s="67" t="s">
        <v>161</v>
      </c>
      <c r="Y24" s="66" t="s">
        <v>162</v>
      </c>
      <c r="Z24" s="1"/>
    </row>
    <row r="25" ht="15.0" customHeight="1">
      <c r="A25" s="1"/>
      <c r="B25" s="58" t="s">
        <v>220</v>
      </c>
      <c r="C25" s="93">
        <f>SUMIFS('freee実績'!$E:$E,'freee実績'!$B:$B,"2026-05",'freee実績'!$C:$C,"消耗品費")</f>
        <v>0</v>
      </c>
      <c r="D25" s="90" t="s">
        <v>218</v>
      </c>
      <c r="E25" s="152"/>
      <c r="F25" s="1"/>
      <c r="G25" s="58" t="s">
        <v>173</v>
      </c>
      <c r="H25" s="65">
        <f>IF(H24=0,0,H20/H24)</f>
        <v>0</v>
      </c>
      <c r="I25" s="78"/>
      <c r="J25" s="94" t="s">
        <v>221</v>
      </c>
      <c r="K25" s="1"/>
      <c r="L25" s="95" t="s">
        <v>222</v>
      </c>
      <c r="M25" s="1"/>
      <c r="N25" s="1"/>
      <c r="O25" s="1"/>
      <c r="P25" s="1"/>
      <c r="Q25" s="1"/>
      <c r="R25" s="1"/>
      <c r="S25" s="1"/>
      <c r="T25" s="1"/>
      <c r="U25" s="6" t="s">
        <v>223</v>
      </c>
      <c r="V25" s="69" t="str">
        <f>'売上計画'!D61</f>
        <v/>
      </c>
      <c r="W25" s="69">
        <f>I39</f>
        <v>0</v>
      </c>
      <c r="X25" s="69">
        <f t="shared" ref="X25:X26" si="10">W25-V25</f>
        <v>0</v>
      </c>
      <c r="Y25" s="71">
        <f>IF(V25=0,0,W25/V25)</f>
        <v>0</v>
      </c>
      <c r="Z25" s="1"/>
    </row>
    <row r="26" ht="15.0" customHeight="1">
      <c r="A26" s="1"/>
      <c r="B26" s="58" t="s">
        <v>224</v>
      </c>
      <c r="C26" s="93">
        <f>SUMIFS('freee実績'!$E:$E,'freee実績'!$B:$B,"2026-05",'freee実績'!$C:$C,"広告宣伝費")</f>
        <v>0</v>
      </c>
      <c r="D26" s="90" t="s">
        <v>218</v>
      </c>
      <c r="E26" s="152"/>
      <c r="F26" s="1"/>
      <c r="G26" s="58" t="s">
        <v>225</v>
      </c>
      <c r="H26" s="63">
        <v>0.0</v>
      </c>
      <c r="I26" s="78"/>
      <c r="J26" s="92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226</v>
      </c>
      <c r="V26" s="71">
        <f>'売上計画'!D62</f>
        <v>0</v>
      </c>
      <c r="W26" s="71">
        <f>IF(W8=0,0,W25/W8)</f>
        <v>0</v>
      </c>
      <c r="X26" s="71">
        <f t="shared" si="10"/>
        <v>0</v>
      </c>
      <c r="Y26" s="1"/>
      <c r="Z26" s="1"/>
    </row>
    <row r="27" ht="15.0" customHeight="1">
      <c r="A27" s="1"/>
      <c r="B27" s="58" t="s">
        <v>227</v>
      </c>
      <c r="C27" s="93">
        <f>SUMIFS('freee実績'!$E:$E,'freee実績'!$B:$B,"2026-05",'freee実績'!$C:$C,"修繕費")</f>
        <v>0</v>
      </c>
      <c r="D27" s="90" t="s">
        <v>218</v>
      </c>
      <c r="E27" s="152"/>
      <c r="F27" s="1"/>
      <c r="G27" s="58" t="s">
        <v>228</v>
      </c>
      <c r="H27" s="65">
        <f>IF(H26=0,0,H20/H26)</f>
        <v>0</v>
      </c>
      <c r="I27" s="78"/>
      <c r="J27" s="94" t="s">
        <v>229</v>
      </c>
      <c r="K27" s="1"/>
      <c r="L27" s="85" t="s">
        <v>230</v>
      </c>
      <c r="M27" s="46"/>
      <c r="N27" s="46"/>
      <c r="O27" s="46"/>
      <c r="P27" s="46"/>
      <c r="Q27" s="46"/>
      <c r="R27" s="46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8" t="s">
        <v>231</v>
      </c>
      <c r="C28" s="93">
        <f>SUMIFS('freee実績'!$E:$E,'freee実績'!$B:$B,"2026-05",'freee実績'!$C:$C,"雑費")</f>
        <v>0</v>
      </c>
      <c r="D28" s="90" t="s">
        <v>218</v>
      </c>
      <c r="E28" s="152"/>
      <c r="F28" s="1"/>
      <c r="G28" s="58" t="s">
        <v>179</v>
      </c>
      <c r="H28" s="96">
        <f>IF(H20=0,0,C16/H20)</f>
        <v>0</v>
      </c>
      <c r="I28" s="78"/>
      <c r="J28" s="94" t="s">
        <v>232</v>
      </c>
      <c r="K28" s="1"/>
      <c r="L28" s="56" t="s">
        <v>212</v>
      </c>
      <c r="M28" s="56" t="s">
        <v>213</v>
      </c>
      <c r="N28" s="56"/>
      <c r="O28" s="56"/>
      <c r="P28" s="56"/>
      <c r="Q28" s="56"/>
      <c r="R28" s="56" t="s">
        <v>214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97" t="s">
        <v>233</v>
      </c>
      <c r="C29" s="98">
        <f>'固定資産台帳'!M26</f>
        <v>0</v>
      </c>
      <c r="D29" s="99" t="s">
        <v>234</v>
      </c>
      <c r="E29" s="152"/>
      <c r="F29" s="1"/>
      <c r="G29" s="1"/>
      <c r="H29" s="1"/>
      <c r="I29" s="1"/>
      <c r="J29" s="1"/>
      <c r="K29" s="1"/>
      <c r="L29" s="58" t="s">
        <v>235</v>
      </c>
      <c r="M29" s="96">
        <f>IF(H20=0,0,M23/H20)</f>
        <v>0</v>
      </c>
      <c r="N29" s="78"/>
      <c r="O29" s="78"/>
      <c r="P29" s="78"/>
      <c r="Q29" s="78"/>
      <c r="R29" s="94" t="s">
        <v>236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2" t="s">
        <v>237</v>
      </c>
      <c r="C30" s="73">
        <f>SUM(C20:C29)</f>
        <v>0</v>
      </c>
      <c r="D30" s="74"/>
      <c r="E30" s="74"/>
      <c r="F30" s="1"/>
      <c r="G30" s="1"/>
      <c r="H30" s="1"/>
      <c r="I30" s="1"/>
      <c r="J30" s="1"/>
      <c r="K30" s="1"/>
      <c r="L30" s="58" t="s">
        <v>238</v>
      </c>
      <c r="M30" s="65">
        <f>IF((SUM(N5:N12)*SUM(O5:O12))=0,0,H20/(SUM(N5:N12)*SUM(O5:O12)))</f>
        <v>0</v>
      </c>
      <c r="N30" s="78"/>
      <c r="O30" s="78"/>
      <c r="P30" s="78"/>
      <c r="Q30" s="78"/>
      <c r="R30" s="94" t="s">
        <v>239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77" t="s">
        <v>240</v>
      </c>
      <c r="C32" s="46"/>
      <c r="D32" s="46"/>
      <c r="E32" s="46"/>
      <c r="F32" s="100"/>
      <c r="G32" s="53" t="s">
        <v>241</v>
      </c>
      <c r="H32" s="46"/>
      <c r="I32" s="46"/>
      <c r="J32" s="46"/>
      <c r="K32" s="1"/>
      <c r="L32" s="101" t="s">
        <v>242</v>
      </c>
      <c r="M32" s="46"/>
      <c r="N32" s="46"/>
      <c r="O32" s="46"/>
      <c r="P32" s="46"/>
      <c r="Q32" s="46"/>
      <c r="R32" s="46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6" t="s">
        <v>146</v>
      </c>
      <c r="C33" s="56" t="s">
        <v>243</v>
      </c>
      <c r="D33" s="56" t="s">
        <v>160</v>
      </c>
      <c r="E33" s="102" t="s">
        <v>244</v>
      </c>
      <c r="F33" s="56" t="s">
        <v>148</v>
      </c>
      <c r="G33" s="56"/>
      <c r="H33" s="56" t="s">
        <v>3</v>
      </c>
      <c r="I33" s="56" t="s">
        <v>133</v>
      </c>
      <c r="J33" s="56"/>
      <c r="K33" s="1"/>
      <c r="L33" s="95" t="s">
        <v>245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58" t="s">
        <v>294</v>
      </c>
      <c r="C34" s="76"/>
      <c r="D34" s="59"/>
      <c r="E34" s="65">
        <f t="shared" ref="E34:E36" si="11">C34-D34</f>
        <v>0</v>
      </c>
      <c r="F34" s="109"/>
      <c r="G34" s="78"/>
      <c r="H34" s="106" t="s">
        <v>246</v>
      </c>
      <c r="I34" s="65">
        <f>H20</f>
        <v>0</v>
      </c>
      <c r="J34" s="78"/>
      <c r="K34" s="1"/>
      <c r="L34" s="107" t="s">
        <v>247</v>
      </c>
      <c r="M34" s="108" t="s">
        <v>248</v>
      </c>
      <c r="N34" s="95" t="s">
        <v>249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58" t="s">
        <v>295</v>
      </c>
      <c r="C35" s="76"/>
      <c r="D35" s="59"/>
      <c r="E35" s="65">
        <f t="shared" si="11"/>
        <v>0</v>
      </c>
      <c r="F35" s="109"/>
      <c r="G35" s="78"/>
      <c r="H35" s="106" t="s">
        <v>183</v>
      </c>
      <c r="I35" s="65">
        <f>C16</f>
        <v>0</v>
      </c>
      <c r="J35" s="78"/>
      <c r="K35" s="1"/>
      <c r="L35" s="58" t="s">
        <v>250</v>
      </c>
      <c r="M35" s="52">
        <f>M23</f>
        <v>0</v>
      </c>
      <c r="N35" s="110" t="s">
        <v>251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58" t="s">
        <v>296</v>
      </c>
      <c r="C36" s="76"/>
      <c r="D36" s="59"/>
      <c r="E36" s="65">
        <f t="shared" si="11"/>
        <v>0</v>
      </c>
      <c r="F36" s="109"/>
      <c r="G36" s="78"/>
      <c r="H36" s="106" t="s">
        <v>185</v>
      </c>
      <c r="I36" s="65">
        <f>I34-I35</f>
        <v>0</v>
      </c>
      <c r="J36" s="78"/>
      <c r="K36" s="1"/>
      <c r="L36" s="58" t="s">
        <v>252</v>
      </c>
      <c r="M36" s="65">
        <f>IF(M34="支払い",M35,0)</f>
        <v>0</v>
      </c>
      <c r="N36" s="95" t="s">
        <v>253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53"/>
      <c r="C37" s="154"/>
      <c r="D37" s="154"/>
      <c r="E37" s="155"/>
      <c r="F37" s="156"/>
      <c r="G37" s="78"/>
      <c r="H37" s="106" t="s">
        <v>254</v>
      </c>
      <c r="I37" s="96">
        <f>IF(I34=0,0,I36/I34)</f>
        <v>0</v>
      </c>
      <c r="J37" s="78"/>
      <c r="K37" s="1"/>
      <c r="L37" s="111" t="s">
        <v>255</v>
      </c>
      <c r="M37" s="112">
        <f>M35-M36</f>
        <v>0</v>
      </c>
      <c r="N37" s="95" t="s">
        <v>256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53"/>
      <c r="C38" s="154"/>
      <c r="D38" s="154"/>
      <c r="E38" s="1"/>
      <c r="F38" s="1"/>
      <c r="G38" s="78"/>
      <c r="H38" s="106" t="s">
        <v>208</v>
      </c>
      <c r="I38" s="65">
        <f>C30</f>
        <v>0</v>
      </c>
      <c r="J38" s="78"/>
      <c r="K38" s="1"/>
      <c r="L38" s="58" t="s">
        <v>257</v>
      </c>
      <c r="M38" s="52">
        <f>'4月'!M39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57"/>
      <c r="C39" s="154"/>
      <c r="D39" s="154"/>
      <c r="E39" s="155"/>
      <c r="F39" s="156"/>
      <c r="G39" s="78"/>
      <c r="H39" s="113" t="s">
        <v>223</v>
      </c>
      <c r="I39" s="114">
        <f>I36-I38</f>
        <v>0</v>
      </c>
      <c r="J39" s="115"/>
      <c r="K39" s="1"/>
      <c r="L39" s="116" t="s">
        <v>258</v>
      </c>
      <c r="M39" s="117">
        <f>M38+M37</f>
        <v>0</v>
      </c>
      <c r="N39" s="95" t="s">
        <v>259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57" t="s">
        <v>297</v>
      </c>
      <c r="C40" s="158">
        <v>114000.0</v>
      </c>
      <c r="D40" s="159">
        <v>114000.0</v>
      </c>
      <c r="E40" s="160">
        <f t="shared" ref="E40:E54" si="12">C40-D40</f>
        <v>0</v>
      </c>
      <c r="F40" s="161" t="s">
        <v>298</v>
      </c>
      <c r="G40" s="118"/>
      <c r="H40" s="118"/>
      <c r="I40" s="118"/>
      <c r="J40" s="1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0"/>
      <c r="C41" s="76"/>
      <c r="D41" s="59"/>
      <c r="E41" s="65">
        <f t="shared" si="12"/>
        <v>0</v>
      </c>
      <c r="F41" s="109"/>
      <c r="G41" s="118"/>
      <c r="H41" s="118"/>
      <c r="I41" s="118"/>
      <c r="J41" s="118"/>
      <c r="K41" s="1"/>
      <c r="L41" s="58" t="s">
        <v>260</v>
      </c>
      <c r="M41" s="59"/>
      <c r="N41" s="95" t="s">
        <v>261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3"/>
      <c r="C42" s="76"/>
      <c r="D42" s="59"/>
      <c r="E42" s="65">
        <f t="shared" si="12"/>
        <v>0</v>
      </c>
      <c r="F42" s="109"/>
      <c r="G42" s="118"/>
      <c r="H42" s="118"/>
      <c r="I42" s="118"/>
      <c r="J42" s="1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0"/>
      <c r="C43" s="76"/>
      <c r="D43" s="59"/>
      <c r="E43" s="65">
        <f t="shared" si="12"/>
        <v>0</v>
      </c>
      <c r="F43" s="109"/>
      <c r="G43" s="118"/>
      <c r="H43" s="118"/>
      <c r="I43" s="118"/>
      <c r="J43" s="1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3"/>
      <c r="C44" s="76"/>
      <c r="D44" s="59"/>
      <c r="E44" s="65">
        <f t="shared" si="12"/>
        <v>0</v>
      </c>
      <c r="F44" s="109"/>
      <c r="G44" s="118"/>
      <c r="H44" s="118"/>
      <c r="I44" s="118"/>
      <c r="J44" s="1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0"/>
      <c r="C45" s="76"/>
      <c r="D45" s="59"/>
      <c r="E45" s="65">
        <f t="shared" si="12"/>
        <v>0</v>
      </c>
      <c r="F45" s="109"/>
      <c r="G45" s="118"/>
      <c r="H45" s="118"/>
      <c r="I45" s="118"/>
      <c r="J45" s="1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3"/>
      <c r="C46" s="76"/>
      <c r="D46" s="59"/>
      <c r="E46" s="65">
        <f t="shared" si="12"/>
        <v>0</v>
      </c>
      <c r="F46" s="109"/>
      <c r="G46" s="118"/>
      <c r="H46" s="118"/>
      <c r="I46" s="118"/>
      <c r="J46" s="1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0"/>
      <c r="C47" s="76"/>
      <c r="D47" s="59"/>
      <c r="E47" s="65">
        <f t="shared" si="12"/>
        <v>0</v>
      </c>
      <c r="F47" s="109"/>
      <c r="G47" s="118"/>
      <c r="H47" s="118"/>
      <c r="I47" s="118"/>
      <c r="J47" s="1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3"/>
      <c r="C48" s="76"/>
      <c r="D48" s="59"/>
      <c r="E48" s="65">
        <f t="shared" si="12"/>
        <v>0</v>
      </c>
      <c r="F48" s="109"/>
      <c r="G48" s="118"/>
      <c r="H48" s="118"/>
      <c r="I48" s="118"/>
      <c r="J48" s="1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0"/>
      <c r="C49" s="76"/>
      <c r="D49" s="59"/>
      <c r="E49" s="65">
        <f t="shared" si="12"/>
        <v>0</v>
      </c>
      <c r="F49" s="109"/>
      <c r="G49" s="118"/>
      <c r="H49" s="118"/>
      <c r="I49" s="118"/>
      <c r="J49" s="1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3"/>
      <c r="C50" s="76"/>
      <c r="D50" s="59"/>
      <c r="E50" s="65">
        <f t="shared" si="12"/>
        <v>0</v>
      </c>
      <c r="F50" s="109"/>
      <c r="G50" s="118"/>
      <c r="H50" s="118"/>
      <c r="I50" s="118"/>
      <c r="J50" s="1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0"/>
      <c r="C51" s="76"/>
      <c r="D51" s="59"/>
      <c r="E51" s="65">
        <f t="shared" si="12"/>
        <v>0</v>
      </c>
      <c r="F51" s="109"/>
      <c r="G51" s="118"/>
      <c r="H51" s="118"/>
      <c r="I51" s="118"/>
      <c r="J51" s="1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3"/>
      <c r="C52" s="76"/>
      <c r="D52" s="59"/>
      <c r="E52" s="65">
        <f t="shared" si="12"/>
        <v>0</v>
      </c>
      <c r="F52" s="109"/>
      <c r="G52" s="118"/>
      <c r="H52" s="118"/>
      <c r="I52" s="118"/>
      <c r="J52" s="1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0"/>
      <c r="C53" s="76"/>
      <c r="D53" s="59"/>
      <c r="E53" s="65">
        <f t="shared" si="12"/>
        <v>0</v>
      </c>
      <c r="F53" s="109"/>
      <c r="G53" s="118"/>
      <c r="H53" s="118"/>
      <c r="I53" s="118"/>
      <c r="J53" s="1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2" t="s">
        <v>262</v>
      </c>
      <c r="C54" s="73">
        <f t="shared" ref="C54:D54" si="13">SUM(C34:C53)</f>
        <v>114000</v>
      </c>
      <c r="D54" s="73">
        <f t="shared" si="13"/>
        <v>114000</v>
      </c>
      <c r="E54" s="73">
        <f t="shared" si="12"/>
        <v>0</v>
      </c>
      <c r="F54" s="74"/>
      <c r="G54" s="118"/>
      <c r="H54" s="119"/>
      <c r="I54" s="120"/>
      <c r="J54" s="1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18"/>
      <c r="H55" s="119"/>
      <c r="I55" s="121"/>
      <c r="J55" s="1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2" t="s">
        <v>263</v>
      </c>
      <c r="C56" s="123">
        <f>C16+C30+D54</f>
        <v>114000</v>
      </c>
      <c r="D56" s="124"/>
      <c r="E56" s="124"/>
      <c r="F56" s="1"/>
      <c r="G56" s="118"/>
      <c r="H56" s="119"/>
      <c r="I56" s="121"/>
      <c r="J56" s="1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18"/>
      <c r="H57" s="118"/>
      <c r="I57" s="118"/>
      <c r="J57" s="1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5" t="s">
        <v>264</v>
      </c>
      <c r="H58" s="46"/>
      <c r="I58" s="46"/>
      <c r="J58" s="4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6"/>
      <c r="H59" s="56" t="s">
        <v>3</v>
      </c>
      <c r="I59" s="56" t="s">
        <v>133</v>
      </c>
      <c r="J59" s="5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6"/>
      <c r="H60" s="127" t="s">
        <v>223</v>
      </c>
      <c r="I60" s="128">
        <f>I39</f>
        <v>0</v>
      </c>
      <c r="J60" s="12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6"/>
      <c r="H61" s="127" t="s">
        <v>265</v>
      </c>
      <c r="I61" s="130">
        <f>C29</f>
        <v>0</v>
      </c>
      <c r="J61" s="131" t="s">
        <v>266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2"/>
      <c r="H62" s="72" t="s">
        <v>267</v>
      </c>
      <c r="I62" s="73">
        <f>I60+I61+M37-M41</f>
        <v>0</v>
      </c>
      <c r="J62" s="133" t="s">
        <v>268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18"/>
      <c r="H63" s="118"/>
      <c r="I63" s="118"/>
      <c r="J63" s="1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6"/>
      <c r="H64" s="127" t="s">
        <v>269</v>
      </c>
      <c r="I64" s="130">
        <f>D54</f>
        <v>114000</v>
      </c>
      <c r="J64" s="131" t="s">
        <v>270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2"/>
      <c r="H65" s="72" t="s">
        <v>271</v>
      </c>
      <c r="I65" s="73">
        <f>-I64</f>
        <v>-114000</v>
      </c>
      <c r="J65" s="133" t="s">
        <v>272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18"/>
      <c r="H66" s="118"/>
      <c r="I66" s="118"/>
      <c r="J66" s="1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6"/>
      <c r="H67" s="127" t="s">
        <v>273</v>
      </c>
      <c r="I67" s="130" t="str">
        <f>C6</f>
        <v/>
      </c>
      <c r="J67" s="12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2"/>
      <c r="H68" s="72" t="s">
        <v>274</v>
      </c>
      <c r="I68" s="73" t="str">
        <f>I67</f>
        <v/>
      </c>
      <c r="J68" s="1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18"/>
      <c r="H69" s="118"/>
      <c r="I69" s="118"/>
      <c r="J69" s="1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3" t="s">
        <v>275</v>
      </c>
      <c r="H70" s="46"/>
      <c r="I70" s="46"/>
      <c r="J70" s="4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4"/>
      <c r="H71" s="58" t="s">
        <v>276</v>
      </c>
      <c r="I71" s="89">
        <f>C5</f>
        <v>3000000</v>
      </c>
      <c r="J71" s="13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4"/>
      <c r="H72" s="58" t="s">
        <v>277</v>
      </c>
      <c r="I72" s="104">
        <f>I62</f>
        <v>0</v>
      </c>
      <c r="J72" s="13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4"/>
      <c r="H73" s="58" t="s">
        <v>278</v>
      </c>
      <c r="I73" s="104">
        <f>I65</f>
        <v>-114000</v>
      </c>
      <c r="J73" s="1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4"/>
      <c r="H74" s="58" t="s">
        <v>279</v>
      </c>
      <c r="I74" s="104" t="str">
        <f>I68</f>
        <v/>
      </c>
      <c r="J74" s="1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6"/>
      <c r="H75" s="137" t="s">
        <v>280</v>
      </c>
      <c r="I75" s="138">
        <f>I71+I72+I73+I74</f>
        <v>2886000</v>
      </c>
      <c r="J75" s="139" t="s">
        <v>281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18"/>
      <c r="H76" s="118"/>
      <c r="I76" s="118"/>
      <c r="J76" s="1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18"/>
      <c r="H77" s="95" t="s">
        <v>282</v>
      </c>
      <c r="I77" s="118"/>
      <c r="J77" s="1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4"/>
      <c r="H78" s="140" t="s">
        <v>283</v>
      </c>
      <c r="I78" s="141">
        <f>I39</f>
        <v>0</v>
      </c>
      <c r="J78" s="1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4"/>
      <c r="H79" s="140" t="s">
        <v>284</v>
      </c>
      <c r="I79" s="141">
        <f>I72+I73+I74</f>
        <v>-114000</v>
      </c>
      <c r="J79" s="1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2"/>
      <c r="H80" s="143" t="s">
        <v>285</v>
      </c>
      <c r="I80" s="144">
        <f>I79-I78</f>
        <v>-114000</v>
      </c>
      <c r="J80" s="143" t="s">
        <v>286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18"/>
      <c r="H81" s="118"/>
      <c r="I81" s="118"/>
      <c r="J81" s="1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6"/>
      <c r="H82" s="145" t="s">
        <v>287</v>
      </c>
      <c r="I82" s="146">
        <f>I75</f>
        <v>2886000</v>
      </c>
      <c r="J82" s="147" t="s">
        <v>288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48"/>
      <c r="H83" s="149" t="s">
        <v>289</v>
      </c>
      <c r="I83" s="150">
        <f>I75-M37</f>
        <v>2886000</v>
      </c>
      <c r="J83" s="151" t="s">
        <v>290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18"/>
      <c r="H84" s="118"/>
      <c r="I84" s="118"/>
      <c r="J84" s="1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4" t="s">
        <v>299</v>
      </c>
      <c r="K1" s="1"/>
      <c r="L1" s="1"/>
      <c r="M1" s="1"/>
      <c r="N1" s="1"/>
      <c r="O1" s="1"/>
      <c r="P1" s="1"/>
      <c r="Q1" s="1"/>
      <c r="R1" s="1"/>
      <c r="S1" s="1"/>
      <c r="T1" s="1"/>
      <c r="U1" s="45" t="s">
        <v>137</v>
      </c>
      <c r="V1" s="46"/>
      <c r="W1" s="46"/>
      <c r="X1" s="46"/>
      <c r="Y1" s="46"/>
      <c r="Z1" s="1"/>
    </row>
    <row r="2" ht="21.0" customHeight="1">
      <c r="A2" s="1"/>
      <c r="B2" s="47" t="s">
        <v>138</v>
      </c>
      <c r="C2" s="48">
        <f>I75</f>
        <v>939612</v>
      </c>
      <c r="D2" s="1"/>
      <c r="E2" s="49" t="s">
        <v>139</v>
      </c>
      <c r="F2" s="50">
        <f>C16+SUM(C20:C23)+SUM(C25:C28)+M36+D54+M41</f>
        <v>1946388</v>
      </c>
      <c r="G2" s="1"/>
      <c r="H2" s="49" t="s">
        <v>140</v>
      </c>
      <c r="I2" s="51">
        <f>I39</f>
        <v>-14433.83333</v>
      </c>
      <c r="J2" s="1"/>
      <c r="K2" s="1"/>
      <c r="L2" s="47" t="s">
        <v>141</v>
      </c>
      <c r="M2" s="52">
        <f>'7月'!C20+'7月'!C21+'7月'!C22+'7月'!C23+'7月'!C25</f>
        <v>0</v>
      </c>
      <c r="N2" s="1"/>
      <c r="O2" s="1"/>
      <c r="P2" s="1"/>
      <c r="Q2" s="1"/>
      <c r="R2" s="1"/>
      <c r="S2" s="1"/>
      <c r="T2" s="1"/>
      <c r="U2" s="3" t="s">
        <v>142</v>
      </c>
      <c r="Z2" s="1"/>
    </row>
    <row r="3" ht="15.0" customHeight="1">
      <c r="A3" s="1"/>
      <c r="B3" s="53" t="s">
        <v>143</v>
      </c>
      <c r="C3" s="46"/>
      <c r="D3" s="46"/>
      <c r="E3" s="46"/>
      <c r="F3" s="1"/>
      <c r="G3" s="54" t="s">
        <v>144</v>
      </c>
      <c r="H3" s="46"/>
      <c r="I3" s="46"/>
      <c r="J3" s="46"/>
      <c r="K3" s="1"/>
      <c r="L3" s="55" t="s">
        <v>145</v>
      </c>
      <c r="M3" s="46"/>
      <c r="N3" s="46"/>
      <c r="O3" s="46"/>
      <c r="P3" s="46"/>
      <c r="Q3" s="46"/>
      <c r="R3" s="46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6" t="s">
        <v>146</v>
      </c>
      <c r="C4" s="56" t="s">
        <v>133</v>
      </c>
      <c r="D4" s="56" t="s">
        <v>147</v>
      </c>
      <c r="E4" s="56" t="s">
        <v>148</v>
      </c>
      <c r="F4" s="1"/>
      <c r="G4" s="56" t="s">
        <v>70</v>
      </c>
      <c r="H4" s="56" t="s">
        <v>133</v>
      </c>
      <c r="I4" s="56" t="s">
        <v>147</v>
      </c>
      <c r="J4" s="56" t="s">
        <v>148</v>
      </c>
      <c r="K4" s="1"/>
      <c r="L4" s="56" t="s">
        <v>149</v>
      </c>
      <c r="M4" s="56" t="s">
        <v>150</v>
      </c>
      <c r="N4" s="56" t="s">
        <v>151</v>
      </c>
      <c r="O4" s="56" t="s">
        <v>152</v>
      </c>
      <c r="P4" s="56" t="s">
        <v>153</v>
      </c>
      <c r="Q4" s="56" t="s">
        <v>154</v>
      </c>
      <c r="R4" s="56" t="s">
        <v>155</v>
      </c>
      <c r="S4" s="1"/>
      <c r="T4" s="1"/>
      <c r="U4" s="57" t="s">
        <v>156</v>
      </c>
      <c r="V4" s="46"/>
      <c r="W4" s="46"/>
      <c r="X4" s="46"/>
      <c r="Y4" s="46"/>
      <c r="Z4" s="1"/>
    </row>
    <row r="5" ht="15.0" customHeight="1">
      <c r="A5" s="1"/>
      <c r="B5" s="58" t="s">
        <v>292</v>
      </c>
      <c r="C5" s="52">
        <f>'5月'!I75</f>
        <v>2886000</v>
      </c>
      <c r="D5" s="60"/>
      <c r="E5" s="152"/>
      <c r="F5" s="1"/>
      <c r="G5" s="58" t="s">
        <v>158</v>
      </c>
      <c r="H5" s="52">
        <f>'6月日次売上'!C34</f>
        <v>0</v>
      </c>
      <c r="I5" s="60"/>
      <c r="J5" s="152"/>
      <c r="K5" s="1"/>
      <c r="L5" s="60"/>
      <c r="M5" s="59"/>
      <c r="N5" s="63"/>
      <c r="O5" s="64"/>
      <c r="P5" s="59"/>
      <c r="Q5" s="65">
        <f t="shared" ref="Q5:Q12" si="1">M5*N5*O5</f>
        <v>0</v>
      </c>
      <c r="R5" s="65">
        <f t="shared" ref="R5:R12" si="2">P5*N5</f>
        <v>0</v>
      </c>
      <c r="S5" s="1"/>
      <c r="T5" s="1"/>
      <c r="U5" s="66" t="s">
        <v>3</v>
      </c>
      <c r="V5" s="67" t="s">
        <v>159</v>
      </c>
      <c r="W5" s="67" t="s">
        <v>160</v>
      </c>
      <c r="X5" s="67" t="s">
        <v>161</v>
      </c>
      <c r="Y5" s="66" t="s">
        <v>162</v>
      </c>
      <c r="Z5" s="1"/>
    </row>
    <row r="6" ht="15.0" customHeight="1">
      <c r="A6" s="1"/>
      <c r="B6" s="58" t="s">
        <v>163</v>
      </c>
      <c r="C6" s="59"/>
      <c r="D6" s="60"/>
      <c r="E6" s="152"/>
      <c r="F6" s="1"/>
      <c r="G6" s="58" t="s">
        <v>164</v>
      </c>
      <c r="H6" s="52">
        <f>'6月日次売上'!D34</f>
        <v>0</v>
      </c>
      <c r="I6" s="60"/>
      <c r="J6" s="152"/>
      <c r="K6" s="1"/>
      <c r="L6" s="60"/>
      <c r="M6" s="59"/>
      <c r="N6" s="63"/>
      <c r="O6" s="64"/>
      <c r="P6" s="59"/>
      <c r="Q6" s="65">
        <f t="shared" si="1"/>
        <v>0</v>
      </c>
      <c r="R6" s="65">
        <f t="shared" si="2"/>
        <v>0</v>
      </c>
      <c r="S6" s="1"/>
      <c r="T6" s="1"/>
      <c r="U6" s="6" t="s">
        <v>165</v>
      </c>
      <c r="V6" s="69">
        <f>'売上計画'!E38</f>
        <v>0</v>
      </c>
      <c r="W6" s="70" t="str">
        <f>IF(H26=0,"",H24/H26/2)</f>
        <v/>
      </c>
      <c r="X6" s="69">
        <f t="shared" ref="X6:X7" si="3">IF(W6="",0,W6-V6)</f>
        <v>0</v>
      </c>
      <c r="Y6" s="71">
        <f t="shared" ref="Y6:Y7" si="4">IF(OR(W6="",V6=0),0,W6/V6)</f>
        <v>0</v>
      </c>
      <c r="Z6" s="1"/>
    </row>
    <row r="7" ht="15.0" customHeight="1">
      <c r="A7" s="1"/>
      <c r="B7" s="72" t="s">
        <v>166</v>
      </c>
      <c r="C7" s="73">
        <f>SUM(C5:C6)</f>
        <v>2886000</v>
      </c>
      <c r="D7" s="74"/>
      <c r="E7" s="74"/>
      <c r="F7" s="1"/>
      <c r="G7" s="58" t="s">
        <v>167</v>
      </c>
      <c r="H7" s="52">
        <f>'6月日次売上'!E34</f>
        <v>0</v>
      </c>
      <c r="I7" s="60"/>
      <c r="J7" s="152"/>
      <c r="K7" s="1"/>
      <c r="L7" s="60"/>
      <c r="M7" s="59"/>
      <c r="N7" s="63"/>
      <c r="O7" s="64"/>
      <c r="P7" s="59"/>
      <c r="Q7" s="65">
        <f t="shared" si="1"/>
        <v>0</v>
      </c>
      <c r="R7" s="65">
        <f t="shared" si="2"/>
        <v>0</v>
      </c>
      <c r="S7" s="1"/>
      <c r="T7" s="1"/>
      <c r="U7" s="6" t="s">
        <v>168</v>
      </c>
      <c r="V7" s="69">
        <f>'売上計画'!E39</f>
        <v>0</v>
      </c>
      <c r="W7" s="70" t="str">
        <f>IF(H26=0,"",H24/H26/2)</f>
        <v/>
      </c>
      <c r="X7" s="69">
        <f t="shared" si="3"/>
        <v>0</v>
      </c>
      <c r="Y7" s="71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58" t="s">
        <v>169</v>
      </c>
      <c r="H8" s="52">
        <f>'6月日次売上'!F34</f>
        <v>0</v>
      </c>
      <c r="I8" s="60"/>
      <c r="J8" s="152"/>
      <c r="K8" s="1"/>
      <c r="L8" s="60"/>
      <c r="M8" s="59"/>
      <c r="N8" s="63"/>
      <c r="O8" s="64"/>
      <c r="P8" s="59"/>
      <c r="Q8" s="65">
        <f t="shared" si="1"/>
        <v>0</v>
      </c>
      <c r="R8" s="65">
        <f t="shared" si="2"/>
        <v>0</v>
      </c>
      <c r="S8" s="1"/>
      <c r="T8" s="1"/>
      <c r="U8" s="6" t="s">
        <v>170</v>
      </c>
      <c r="V8" s="69">
        <f>'売上計画'!E45</f>
        <v>0</v>
      </c>
      <c r="W8" s="69">
        <f>H20</f>
        <v>0</v>
      </c>
      <c r="X8" s="69">
        <f t="shared" ref="X8:X9" si="5">W8-V8</f>
        <v>0</v>
      </c>
      <c r="Y8" s="71">
        <f t="shared" ref="Y8:Y9" si="6">IF(V8=0,0,W8/V8)</f>
        <v>0</v>
      </c>
      <c r="Z8" s="1"/>
    </row>
    <row r="9" ht="15.0" customHeight="1">
      <c r="A9" s="1"/>
      <c r="B9" s="75" t="s">
        <v>171</v>
      </c>
      <c r="C9" s="46"/>
      <c r="D9" s="46"/>
      <c r="E9" s="46"/>
      <c r="F9" s="1"/>
      <c r="G9" s="58" t="s">
        <v>172</v>
      </c>
      <c r="H9" s="52">
        <f>'6月日次売上'!G34</f>
        <v>0</v>
      </c>
      <c r="I9" s="60"/>
      <c r="J9" s="152"/>
      <c r="K9" s="1"/>
      <c r="L9" s="60"/>
      <c r="M9" s="59"/>
      <c r="N9" s="63"/>
      <c r="O9" s="64"/>
      <c r="P9" s="59"/>
      <c r="Q9" s="65">
        <f t="shared" si="1"/>
        <v>0</v>
      </c>
      <c r="R9" s="65">
        <f t="shared" si="2"/>
        <v>0</v>
      </c>
      <c r="S9" s="1"/>
      <c r="T9" s="1"/>
      <c r="U9" s="6" t="s">
        <v>173</v>
      </c>
      <c r="V9" s="69">
        <f>IF((V6*'売上計画'!$C$7+V7*'売上計画'!$C$8)=0,0,V8/(V6*'売上計画'!$C$7+V7*'売上計画'!$C$8))</f>
        <v>0</v>
      </c>
      <c r="W9" s="69">
        <f>H25</f>
        <v>0</v>
      </c>
      <c r="X9" s="69">
        <f t="shared" si="5"/>
        <v>0</v>
      </c>
      <c r="Y9" s="71">
        <f t="shared" si="6"/>
        <v>0</v>
      </c>
      <c r="Z9" s="1"/>
    </row>
    <row r="10" ht="15.0" customHeight="1">
      <c r="A10" s="1"/>
      <c r="B10" s="56" t="s">
        <v>146</v>
      </c>
      <c r="C10" s="56" t="s">
        <v>133</v>
      </c>
      <c r="D10" s="56" t="s">
        <v>147</v>
      </c>
      <c r="E10" s="56" t="s">
        <v>148</v>
      </c>
      <c r="F10" s="1"/>
      <c r="G10" s="58" t="s">
        <v>174</v>
      </c>
      <c r="H10" s="52">
        <f>'6月日次売上'!H34</f>
        <v>0</v>
      </c>
      <c r="I10" s="60"/>
      <c r="J10" s="152"/>
      <c r="K10" s="1"/>
      <c r="L10" s="60"/>
      <c r="M10" s="59"/>
      <c r="N10" s="63"/>
      <c r="O10" s="64"/>
      <c r="P10" s="59"/>
      <c r="Q10" s="65">
        <f t="shared" si="1"/>
        <v>0</v>
      </c>
      <c r="R10" s="65">
        <f t="shared" si="2"/>
        <v>0</v>
      </c>
      <c r="S10" s="1"/>
      <c r="T10" s="1"/>
      <c r="U10" s="1"/>
      <c r="V10" s="70"/>
      <c r="W10" s="70"/>
      <c r="X10" s="70"/>
      <c r="Y10" s="1"/>
      <c r="Z10" s="1"/>
    </row>
    <row r="11" ht="15.0" customHeight="1">
      <c r="A11" s="1"/>
      <c r="B11" s="58" t="s">
        <v>175</v>
      </c>
      <c r="C11" s="76">
        <f>SUMIFS('freee実績'!$E:$E,'freee実績'!$B:$B,"2026-06",'freee実績'!$C:$C,"仕入高",'freee実績'!$D:$D,"コーヒー豆・茶葉")</f>
        <v>0</v>
      </c>
      <c r="D11" s="60"/>
      <c r="E11" s="152"/>
      <c r="F11" s="1"/>
      <c r="G11" s="72" t="s">
        <v>176</v>
      </c>
      <c r="H11" s="73">
        <f>SUM(H5:H10)</f>
        <v>0</v>
      </c>
      <c r="I11" s="74"/>
      <c r="J11" s="74"/>
      <c r="K11" s="1"/>
      <c r="L11" s="60"/>
      <c r="M11" s="59"/>
      <c r="N11" s="63"/>
      <c r="O11" s="64"/>
      <c r="P11" s="59"/>
      <c r="Q11" s="65">
        <f t="shared" si="1"/>
        <v>0</v>
      </c>
      <c r="R11" s="65">
        <f t="shared" si="2"/>
        <v>0</v>
      </c>
      <c r="S11" s="1"/>
      <c r="T11" s="1"/>
      <c r="U11" s="57" t="s">
        <v>177</v>
      </c>
      <c r="V11" s="46"/>
      <c r="W11" s="46"/>
      <c r="X11" s="46"/>
      <c r="Y11" s="46"/>
      <c r="Z11" s="1"/>
    </row>
    <row r="12" ht="15.0" customHeight="1">
      <c r="A12" s="1"/>
      <c r="B12" s="58" t="s">
        <v>178</v>
      </c>
      <c r="C12" s="76">
        <f>SUMIFS('freee実績'!$E:$E,'freee実績'!$B:$B,"2026-06",'freee実績'!$C:$C,"仕入高",'freee実績'!$D:$D,"牛乳・シロップ等")</f>
        <v>0</v>
      </c>
      <c r="D12" s="60"/>
      <c r="E12" s="152"/>
      <c r="F12" s="1"/>
      <c r="G12" s="1"/>
      <c r="H12" s="1"/>
      <c r="I12" s="1"/>
      <c r="J12" s="1"/>
      <c r="K12" s="1"/>
      <c r="L12" s="60"/>
      <c r="M12" s="59"/>
      <c r="N12" s="63"/>
      <c r="O12" s="64"/>
      <c r="P12" s="59"/>
      <c r="Q12" s="65">
        <f t="shared" si="1"/>
        <v>0</v>
      </c>
      <c r="R12" s="65">
        <f t="shared" si="2"/>
        <v>0</v>
      </c>
      <c r="S12" s="1"/>
      <c r="T12" s="1"/>
      <c r="U12" s="66" t="s">
        <v>3</v>
      </c>
      <c r="V12" s="67" t="s">
        <v>159</v>
      </c>
      <c r="W12" s="67" t="s">
        <v>160</v>
      </c>
      <c r="X12" s="67" t="s">
        <v>161</v>
      </c>
      <c r="Y12" s="66" t="s">
        <v>179</v>
      </c>
      <c r="Z12" s="1"/>
    </row>
    <row r="13" ht="15.0" customHeight="1">
      <c r="A13" s="1"/>
      <c r="B13" s="58" t="s">
        <v>180</v>
      </c>
      <c r="C13" s="76">
        <f>SUMIFS('freee実績'!$E:$E,'freee実績'!$B:$B,"2026-06",'freee実績'!$C:$C,"仕入高",'freee実績'!$D:$D,"フード材料費")</f>
        <v>0</v>
      </c>
      <c r="D13" s="60"/>
      <c r="E13" s="152"/>
      <c r="F13" s="1"/>
      <c r="G13" s="54" t="s">
        <v>181</v>
      </c>
      <c r="H13" s="46"/>
      <c r="I13" s="46"/>
      <c r="J13" s="46"/>
      <c r="K13" s="1"/>
      <c r="L13" s="72" t="s">
        <v>182</v>
      </c>
      <c r="M13" s="74"/>
      <c r="N13" s="74"/>
      <c r="O13" s="74"/>
      <c r="P13" s="74"/>
      <c r="Q13" s="73">
        <f t="shared" ref="Q13:R13" si="7">SUM(Q5:Q12)</f>
        <v>0</v>
      </c>
      <c r="R13" s="73">
        <f t="shared" si="7"/>
        <v>0</v>
      </c>
      <c r="S13" s="1"/>
      <c r="T13" s="1"/>
      <c r="U13" s="6" t="s">
        <v>183</v>
      </c>
      <c r="V13" s="69">
        <f>'売上計画'!E46</f>
        <v>0</v>
      </c>
      <c r="W13" s="69">
        <f>C16</f>
        <v>0</v>
      </c>
      <c r="X13" s="69">
        <f t="shared" ref="X13:X14" si="8">W13-V13</f>
        <v>0</v>
      </c>
      <c r="Y13" s="71">
        <f>IF(W8=0,0,W13/W8)</f>
        <v>0</v>
      </c>
      <c r="Z13" s="1"/>
    </row>
    <row r="14" ht="15.0" customHeight="1">
      <c r="A14" s="1"/>
      <c r="B14" s="58" t="s">
        <v>184</v>
      </c>
      <c r="C14" s="76">
        <f>SUMIFS('freee実績'!$E:$E,'freee実績'!$B:$B,"2026-06",'freee実績'!$C:$C,"仕入高",'freee実績'!$D:$D,"包装資材・消耗品")</f>
        <v>0</v>
      </c>
      <c r="D14" s="60"/>
      <c r="E14" s="152"/>
      <c r="F14" s="1"/>
      <c r="G14" s="56" t="s">
        <v>70</v>
      </c>
      <c r="H14" s="56" t="s">
        <v>133</v>
      </c>
      <c r="I14" s="56" t="s">
        <v>147</v>
      </c>
      <c r="J14" s="56" t="s">
        <v>148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185</v>
      </c>
      <c r="V14" s="69">
        <f>'売上計画'!E47</f>
        <v>0</v>
      </c>
      <c r="W14" s="69">
        <f>H20-C16</f>
        <v>0</v>
      </c>
      <c r="X14" s="69">
        <f t="shared" si="8"/>
        <v>0</v>
      </c>
      <c r="Y14" s="71">
        <f>IF(W8=0,0,W14/W8)</f>
        <v>0</v>
      </c>
      <c r="Z14" s="1"/>
    </row>
    <row r="15" ht="15.0" customHeight="1">
      <c r="A15" s="1"/>
      <c r="B15" s="58" t="s">
        <v>186</v>
      </c>
      <c r="C15" s="76">
        <f>SUMIFS('freee実績'!$E:$E,'freee実績'!$B:$B,"2026-06",'freee実績'!$C:$C,"仕入高",'freee実績'!$D:$D,"その他原価")</f>
        <v>0</v>
      </c>
      <c r="D15" s="60"/>
      <c r="E15" s="152"/>
      <c r="F15" s="1"/>
      <c r="G15" s="58" t="s">
        <v>187</v>
      </c>
      <c r="H15" s="52">
        <f>'6月日次売上'!I34</f>
        <v>0</v>
      </c>
      <c r="I15" s="60"/>
      <c r="J15" s="152"/>
      <c r="K15" s="1"/>
      <c r="L15" s="77" t="s">
        <v>188</v>
      </c>
      <c r="M15" s="46"/>
      <c r="N15" s="46"/>
      <c r="O15" s="46"/>
      <c r="P15" s="46"/>
      <c r="Q15" s="46"/>
      <c r="R15" s="46"/>
      <c r="S15" s="1"/>
      <c r="T15" s="1"/>
      <c r="U15" s="1"/>
      <c r="V15" s="70"/>
      <c r="W15" s="70"/>
      <c r="X15" s="70"/>
      <c r="Y15" s="1"/>
      <c r="Z15" s="1"/>
    </row>
    <row r="16" ht="15.0" customHeight="1">
      <c r="A16" s="1"/>
      <c r="B16" s="72" t="s">
        <v>189</v>
      </c>
      <c r="C16" s="73">
        <f>SUM(C11:C15)</f>
        <v>0</v>
      </c>
      <c r="D16" s="74"/>
      <c r="E16" s="74"/>
      <c r="F16" s="1"/>
      <c r="G16" s="58" t="s">
        <v>190</v>
      </c>
      <c r="H16" s="76"/>
      <c r="I16" s="60"/>
      <c r="J16" s="152"/>
      <c r="K16" s="1"/>
      <c r="L16" s="56" t="s">
        <v>3</v>
      </c>
      <c r="M16" s="56" t="s">
        <v>191</v>
      </c>
      <c r="N16" s="56"/>
      <c r="O16" s="56"/>
      <c r="P16" s="56"/>
      <c r="Q16" s="56"/>
      <c r="R16" s="56" t="s">
        <v>5</v>
      </c>
      <c r="S16" s="1"/>
      <c r="T16" s="1"/>
      <c r="U16" s="57" t="s">
        <v>192</v>
      </c>
      <c r="V16" s="46"/>
      <c r="W16" s="46"/>
      <c r="X16" s="46"/>
      <c r="Y16" s="46"/>
      <c r="Z16" s="1"/>
    </row>
    <row r="17" ht="15.0" customHeight="1">
      <c r="A17" s="1"/>
      <c r="B17" s="1"/>
      <c r="C17" s="1"/>
      <c r="D17" s="1"/>
      <c r="E17" s="1"/>
      <c r="F17" s="1"/>
      <c r="G17" s="58" t="s">
        <v>193</v>
      </c>
      <c r="H17" s="76"/>
      <c r="I17" s="60"/>
      <c r="J17" s="152"/>
      <c r="K17" s="1"/>
      <c r="L17" s="58" t="s">
        <v>194</v>
      </c>
      <c r="M17" s="59"/>
      <c r="N17" s="78"/>
      <c r="O17" s="78"/>
      <c r="P17" s="78"/>
      <c r="Q17" s="78"/>
      <c r="R17" s="152"/>
      <c r="S17" s="1"/>
      <c r="T17" s="1"/>
      <c r="U17" s="66" t="s">
        <v>3</v>
      </c>
      <c r="V17" s="67" t="s">
        <v>159</v>
      </c>
      <c r="W17" s="67" t="s">
        <v>160</v>
      </c>
      <c r="X17" s="67" t="s">
        <v>161</v>
      </c>
      <c r="Y17" s="1"/>
      <c r="Z17" s="1"/>
    </row>
    <row r="18" ht="15.0" customHeight="1">
      <c r="A18" s="1"/>
      <c r="B18" s="77" t="s">
        <v>195</v>
      </c>
      <c r="C18" s="46"/>
      <c r="D18" s="46"/>
      <c r="E18" s="46"/>
      <c r="F18" s="1"/>
      <c r="G18" s="72" t="s">
        <v>196</v>
      </c>
      <c r="H18" s="73">
        <f>SUM(H15:H17)</f>
        <v>0</v>
      </c>
      <c r="I18" s="74"/>
      <c r="J18" s="74"/>
      <c r="K18" s="1"/>
      <c r="L18" s="58" t="s">
        <v>197</v>
      </c>
      <c r="M18" s="59"/>
      <c r="N18" s="78"/>
      <c r="O18" s="78"/>
      <c r="P18" s="78"/>
      <c r="Q18" s="78"/>
      <c r="R18" s="152"/>
      <c r="S18" s="1"/>
      <c r="T18" s="1"/>
      <c r="U18" s="6" t="s">
        <v>198</v>
      </c>
      <c r="V18" s="69">
        <f>'売上計画'!E54</f>
        <v>0</v>
      </c>
      <c r="W18" s="69">
        <f>C24</f>
        <v>0</v>
      </c>
      <c r="X18" s="69">
        <f t="shared" ref="X18:X21" si="9">W18-V18</f>
        <v>0</v>
      </c>
      <c r="Y18" s="1"/>
      <c r="Z18" s="1"/>
    </row>
    <row r="19" ht="15.0" customHeight="1">
      <c r="A19" s="1"/>
      <c r="B19" s="56" t="s">
        <v>146</v>
      </c>
      <c r="C19" s="56" t="s">
        <v>133</v>
      </c>
      <c r="D19" s="56" t="s">
        <v>147</v>
      </c>
      <c r="E19" s="56" t="s">
        <v>148</v>
      </c>
      <c r="F19" s="1"/>
      <c r="G19" s="1"/>
      <c r="H19" s="1"/>
      <c r="I19" s="1"/>
      <c r="J19" s="1"/>
      <c r="K19" s="1"/>
      <c r="L19" s="58" t="s">
        <v>199</v>
      </c>
      <c r="M19" s="59"/>
      <c r="N19" s="78"/>
      <c r="O19" s="78"/>
      <c r="P19" s="78"/>
      <c r="Q19" s="78"/>
      <c r="R19" s="152"/>
      <c r="S19" s="1"/>
      <c r="T19" s="1"/>
      <c r="U19" s="6" t="s">
        <v>200</v>
      </c>
      <c r="V19" s="69">
        <f>'売上計画'!E57</f>
        <v>0</v>
      </c>
      <c r="W19" s="69">
        <f>C20+C21+C22+C23</f>
        <v>0</v>
      </c>
      <c r="X19" s="69">
        <f t="shared" si="9"/>
        <v>0</v>
      </c>
      <c r="Y19" s="1"/>
      <c r="Z19" s="1"/>
    </row>
    <row r="20" ht="15.0" customHeight="1">
      <c r="A20" s="1"/>
      <c r="B20" s="79" t="s">
        <v>201</v>
      </c>
      <c r="C20" s="80">
        <f>SUMIFS('freee実績'!$E:$E,'freee実績'!$B:$B,"2026-06",'freee実績'!$C:$C,"地代家賃")</f>
        <v>0</v>
      </c>
      <c r="D20" s="81" t="s">
        <v>202</v>
      </c>
      <c r="E20" s="152"/>
      <c r="F20" s="1"/>
      <c r="G20" s="82" t="s">
        <v>203</v>
      </c>
      <c r="H20" s="83">
        <f>H11+H18</f>
        <v>0</v>
      </c>
      <c r="I20" s="84"/>
      <c r="J20" s="84"/>
      <c r="K20" s="1"/>
      <c r="L20" s="58" t="s">
        <v>204</v>
      </c>
      <c r="M20" s="59"/>
      <c r="N20" s="78"/>
      <c r="O20" s="78"/>
      <c r="P20" s="78"/>
      <c r="Q20" s="78"/>
      <c r="R20" s="152"/>
      <c r="S20" s="1"/>
      <c r="T20" s="1"/>
      <c r="U20" s="6" t="s">
        <v>205</v>
      </c>
      <c r="V20" s="69">
        <f>'売上計画'!E58</f>
        <v>0</v>
      </c>
      <c r="W20" s="69">
        <f>C25</f>
        <v>0</v>
      </c>
      <c r="X20" s="69">
        <f t="shared" si="9"/>
        <v>0</v>
      </c>
      <c r="Y20" s="1"/>
      <c r="Z20" s="1"/>
    </row>
    <row r="21" ht="15.0" customHeight="1">
      <c r="A21" s="1"/>
      <c r="B21" s="79" t="s">
        <v>206</v>
      </c>
      <c r="C21" s="80">
        <f>SUMIFS('freee実績'!$E:$E,'freee実績'!$B:$B,"2026-06",'freee実績'!$C:$C,"水道光熱費")</f>
        <v>0</v>
      </c>
      <c r="D21" s="81" t="s">
        <v>202</v>
      </c>
      <c r="E21" s="152"/>
      <c r="F21" s="1"/>
      <c r="G21" s="1"/>
      <c r="H21" s="1"/>
      <c r="I21" s="1"/>
      <c r="J21" s="1"/>
      <c r="K21" s="1"/>
      <c r="L21" s="72" t="s">
        <v>207</v>
      </c>
      <c r="M21" s="73">
        <f>SUM(M17:M20)</f>
        <v>0</v>
      </c>
      <c r="N21" s="74"/>
      <c r="O21" s="74"/>
      <c r="P21" s="74"/>
      <c r="Q21" s="74"/>
      <c r="R21" s="74"/>
      <c r="S21" s="1"/>
      <c r="T21" s="1"/>
      <c r="U21" s="6" t="s">
        <v>208</v>
      </c>
      <c r="V21" s="69">
        <f>'売上計画'!E59</f>
        <v>0</v>
      </c>
      <c r="W21" s="69">
        <f>C30</f>
        <v>14433.83333</v>
      </c>
      <c r="X21" s="69">
        <f t="shared" si="9"/>
        <v>14433.83333</v>
      </c>
      <c r="Y21" s="1"/>
      <c r="Z21" s="1"/>
    </row>
    <row r="22" ht="16.5" customHeight="1">
      <c r="A22" s="1"/>
      <c r="B22" s="79" t="s">
        <v>209</v>
      </c>
      <c r="C22" s="80">
        <f>SUMIFS('freee実績'!$E:$E,'freee実績'!$B:$B,"2026-06",'freee実績'!$C:$C,"通信費")</f>
        <v>0</v>
      </c>
      <c r="D22" s="81" t="s">
        <v>202</v>
      </c>
      <c r="E22" s="152"/>
      <c r="F22" s="1"/>
      <c r="G22" s="85" t="s">
        <v>210</v>
      </c>
      <c r="H22" s="46"/>
      <c r="I22" s="46"/>
      <c r="J22" s="4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0"/>
      <c r="W22" s="70"/>
      <c r="X22" s="70"/>
      <c r="Y22" s="1"/>
      <c r="Z22" s="1"/>
    </row>
    <row r="23" ht="15.0" customHeight="1">
      <c r="A23" s="1"/>
      <c r="B23" s="79" t="s">
        <v>211</v>
      </c>
      <c r="C23" s="80">
        <f>SUMIFS('freee実績'!$E:$E,'freee実績'!$B:$B,"2026-06",'freee実績'!$C:$C,"保険料")</f>
        <v>0</v>
      </c>
      <c r="D23" s="81" t="s">
        <v>202</v>
      </c>
      <c r="E23" s="152"/>
      <c r="F23" s="1"/>
      <c r="G23" s="56" t="s">
        <v>212</v>
      </c>
      <c r="H23" s="56" t="s">
        <v>213</v>
      </c>
      <c r="I23" s="56"/>
      <c r="J23" s="56" t="s">
        <v>214</v>
      </c>
      <c r="K23" s="1"/>
      <c r="L23" s="86" t="s">
        <v>215</v>
      </c>
      <c r="M23" s="87">
        <f>Q13+R13+M21</f>
        <v>0</v>
      </c>
      <c r="N23" s="88"/>
      <c r="O23" s="88"/>
      <c r="P23" s="88"/>
      <c r="Q23" s="88"/>
      <c r="R23" s="88"/>
      <c r="S23" s="1"/>
      <c r="T23" s="1"/>
      <c r="U23" s="57" t="s">
        <v>216</v>
      </c>
      <c r="V23" s="46"/>
      <c r="W23" s="46"/>
      <c r="X23" s="46"/>
      <c r="Y23" s="46"/>
      <c r="Z23" s="1"/>
    </row>
    <row r="24" ht="15.0" customHeight="1">
      <c r="A24" s="1"/>
      <c r="B24" s="58" t="s">
        <v>217</v>
      </c>
      <c r="C24" s="89">
        <f>M23</f>
        <v>0</v>
      </c>
      <c r="D24" s="90" t="s">
        <v>218</v>
      </c>
      <c r="E24" s="152"/>
      <c r="F24" s="1"/>
      <c r="G24" s="58" t="s">
        <v>219</v>
      </c>
      <c r="H24" s="91">
        <f>'6月日次売上'!J34</f>
        <v>0</v>
      </c>
      <c r="I24" s="78"/>
      <c r="J24" s="92"/>
      <c r="K24" s="1"/>
      <c r="L24" s="1"/>
      <c r="M24" s="1"/>
      <c r="N24" s="1"/>
      <c r="O24" s="1"/>
      <c r="P24" s="1"/>
      <c r="Q24" s="1"/>
      <c r="R24" s="1"/>
      <c r="S24" s="1"/>
      <c r="T24" s="1"/>
      <c r="U24" s="66" t="s">
        <v>3</v>
      </c>
      <c r="V24" s="67" t="s">
        <v>159</v>
      </c>
      <c r="W24" s="67" t="s">
        <v>160</v>
      </c>
      <c r="X24" s="67" t="s">
        <v>161</v>
      </c>
      <c r="Y24" s="66" t="s">
        <v>162</v>
      </c>
      <c r="Z24" s="1"/>
    </row>
    <row r="25" ht="15.0" customHeight="1">
      <c r="A25" s="1"/>
      <c r="B25" s="58" t="s">
        <v>220</v>
      </c>
      <c r="C25" s="93">
        <f>SUMIFS('freee実績'!$E:$E,'freee実績'!$B:$B,"2026-06",'freee実績'!$C:$C,"消耗品費")</f>
        <v>0</v>
      </c>
      <c r="D25" s="90" t="s">
        <v>218</v>
      </c>
      <c r="E25" s="152"/>
      <c r="F25" s="1"/>
      <c r="G25" s="58" t="s">
        <v>173</v>
      </c>
      <c r="H25" s="65">
        <f>IF(H24=0,0,H20/H24)</f>
        <v>0</v>
      </c>
      <c r="I25" s="78"/>
      <c r="J25" s="94" t="s">
        <v>221</v>
      </c>
      <c r="K25" s="1"/>
      <c r="L25" s="95" t="s">
        <v>222</v>
      </c>
      <c r="M25" s="1"/>
      <c r="N25" s="1"/>
      <c r="O25" s="1"/>
      <c r="P25" s="1"/>
      <c r="Q25" s="1"/>
      <c r="R25" s="1"/>
      <c r="S25" s="1"/>
      <c r="T25" s="1"/>
      <c r="U25" s="6" t="s">
        <v>223</v>
      </c>
      <c r="V25" s="69" t="str">
        <f>'売上計画'!E61</f>
        <v/>
      </c>
      <c r="W25" s="69">
        <f>I39</f>
        <v>-14433.83333</v>
      </c>
      <c r="X25" s="69">
        <f t="shared" ref="X25:X26" si="10">W25-V25</f>
        <v>-14433.83333</v>
      </c>
      <c r="Y25" s="71">
        <f>IF(V25=0,0,W25/V25)</f>
        <v>0</v>
      </c>
      <c r="Z25" s="1"/>
    </row>
    <row r="26" ht="15.0" customHeight="1">
      <c r="A26" s="1"/>
      <c r="B26" s="58" t="s">
        <v>224</v>
      </c>
      <c r="C26" s="93">
        <f>SUMIFS('freee実績'!$E:$E,'freee実績'!$B:$B,"2026-06",'freee実績'!$C:$C,"広告宣伝費")</f>
        <v>0</v>
      </c>
      <c r="D26" s="90" t="s">
        <v>218</v>
      </c>
      <c r="E26" s="152"/>
      <c r="F26" s="1"/>
      <c r="G26" s="58" t="s">
        <v>225</v>
      </c>
      <c r="H26" s="63">
        <v>0.0</v>
      </c>
      <c r="I26" s="78"/>
      <c r="J26" s="92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226</v>
      </c>
      <c r="V26" s="71">
        <f>'売上計画'!E62</f>
        <v>0</v>
      </c>
      <c r="W26" s="71">
        <f>IF(W8=0,0,W25/W8)</f>
        <v>0</v>
      </c>
      <c r="X26" s="71">
        <f t="shared" si="10"/>
        <v>0</v>
      </c>
      <c r="Y26" s="1"/>
      <c r="Z26" s="1"/>
    </row>
    <row r="27" ht="15.0" customHeight="1">
      <c r="A27" s="1"/>
      <c r="B27" s="58" t="s">
        <v>227</v>
      </c>
      <c r="C27" s="93">
        <f>SUMIFS('freee実績'!$E:$E,'freee実績'!$B:$B,"2026-06",'freee実績'!$C:$C,"修繕費")</f>
        <v>0</v>
      </c>
      <c r="D27" s="90" t="s">
        <v>218</v>
      </c>
      <c r="E27" s="152"/>
      <c r="F27" s="1"/>
      <c r="G27" s="58" t="s">
        <v>228</v>
      </c>
      <c r="H27" s="65">
        <f>IF(H26=0,0,H20/H26)</f>
        <v>0</v>
      </c>
      <c r="I27" s="78"/>
      <c r="J27" s="94" t="s">
        <v>229</v>
      </c>
      <c r="K27" s="1"/>
      <c r="L27" s="85" t="s">
        <v>230</v>
      </c>
      <c r="M27" s="46"/>
      <c r="N27" s="46"/>
      <c r="O27" s="46"/>
      <c r="P27" s="46"/>
      <c r="Q27" s="46"/>
      <c r="R27" s="46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8" t="s">
        <v>231</v>
      </c>
      <c r="C28" s="93">
        <f>SUMIFS('freee実績'!$E:$E,'freee実績'!$B:$B,"2026-06",'freee実績'!$C:$C,"雑費")</f>
        <v>0</v>
      </c>
      <c r="D28" s="90" t="s">
        <v>218</v>
      </c>
      <c r="E28" s="152"/>
      <c r="F28" s="1"/>
      <c r="G28" s="58" t="s">
        <v>179</v>
      </c>
      <c r="H28" s="96">
        <f>IF(H20=0,0,C16/H20)</f>
        <v>0</v>
      </c>
      <c r="I28" s="78"/>
      <c r="J28" s="94" t="s">
        <v>232</v>
      </c>
      <c r="K28" s="1"/>
      <c r="L28" s="56" t="s">
        <v>212</v>
      </c>
      <c r="M28" s="56" t="s">
        <v>213</v>
      </c>
      <c r="N28" s="56"/>
      <c r="O28" s="56"/>
      <c r="P28" s="56"/>
      <c r="Q28" s="56"/>
      <c r="R28" s="56" t="s">
        <v>214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97" t="s">
        <v>233</v>
      </c>
      <c r="C29" s="98">
        <f>'固定資産台帳'!N26</f>
        <v>14433.83333</v>
      </c>
      <c r="D29" s="99" t="s">
        <v>234</v>
      </c>
      <c r="E29" s="152"/>
      <c r="F29" s="1"/>
      <c r="G29" s="1"/>
      <c r="H29" s="1"/>
      <c r="I29" s="1"/>
      <c r="J29" s="1"/>
      <c r="K29" s="1"/>
      <c r="L29" s="58" t="s">
        <v>235</v>
      </c>
      <c r="M29" s="96">
        <f>IF(H20=0,0,M23/H20)</f>
        <v>0</v>
      </c>
      <c r="N29" s="78"/>
      <c r="O29" s="78"/>
      <c r="P29" s="78"/>
      <c r="Q29" s="78"/>
      <c r="R29" s="94" t="s">
        <v>236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2" t="s">
        <v>237</v>
      </c>
      <c r="C30" s="73">
        <f>SUM(C20:C29)</f>
        <v>14433.83333</v>
      </c>
      <c r="D30" s="74"/>
      <c r="E30" s="74"/>
      <c r="F30" s="1"/>
      <c r="G30" s="1"/>
      <c r="H30" s="1"/>
      <c r="I30" s="1"/>
      <c r="J30" s="1"/>
      <c r="K30" s="1"/>
      <c r="L30" s="58" t="s">
        <v>238</v>
      </c>
      <c r="M30" s="65">
        <f>IF((SUM(N5:N12)*SUM(O5:O12))=0,0,H20/(SUM(N5:N12)*SUM(O5:O12)))</f>
        <v>0</v>
      </c>
      <c r="N30" s="78"/>
      <c r="O30" s="78"/>
      <c r="P30" s="78"/>
      <c r="Q30" s="78"/>
      <c r="R30" s="94" t="s">
        <v>239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77" t="s">
        <v>240</v>
      </c>
      <c r="C32" s="46"/>
      <c r="D32" s="46"/>
      <c r="E32" s="46"/>
      <c r="F32" s="100"/>
      <c r="G32" s="53" t="s">
        <v>241</v>
      </c>
      <c r="H32" s="46"/>
      <c r="I32" s="46"/>
      <c r="J32" s="46"/>
      <c r="K32" s="1"/>
      <c r="L32" s="101" t="s">
        <v>242</v>
      </c>
      <c r="M32" s="46"/>
      <c r="N32" s="46"/>
      <c r="O32" s="46"/>
      <c r="P32" s="46"/>
      <c r="Q32" s="46"/>
      <c r="R32" s="46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6" t="s">
        <v>146</v>
      </c>
      <c r="C33" s="56" t="s">
        <v>243</v>
      </c>
      <c r="D33" s="56" t="s">
        <v>160</v>
      </c>
      <c r="E33" s="102" t="s">
        <v>244</v>
      </c>
      <c r="F33" s="56" t="s">
        <v>148</v>
      </c>
      <c r="G33" s="56"/>
      <c r="H33" s="56" t="s">
        <v>3</v>
      </c>
      <c r="I33" s="56" t="s">
        <v>133</v>
      </c>
      <c r="J33" s="56"/>
      <c r="K33" s="1"/>
      <c r="L33" s="95" t="s">
        <v>245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03" t="s">
        <v>300</v>
      </c>
      <c r="C34" s="93"/>
      <c r="D34" s="158">
        <v>500000.0</v>
      </c>
      <c r="E34" s="65">
        <f t="shared" ref="E34:E39" si="11">C34-D34</f>
        <v>-500000</v>
      </c>
      <c r="F34" s="61" t="s">
        <v>301</v>
      </c>
      <c r="G34" s="78"/>
      <c r="H34" s="106" t="s">
        <v>246</v>
      </c>
      <c r="I34" s="65">
        <f>H20</f>
        <v>0</v>
      </c>
      <c r="J34" s="78"/>
      <c r="K34" s="1"/>
      <c r="L34" s="107" t="s">
        <v>247</v>
      </c>
      <c r="M34" s="108" t="s">
        <v>248</v>
      </c>
      <c r="N34" s="95" t="s">
        <v>249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8" t="s">
        <v>302</v>
      </c>
      <c r="C35" s="76"/>
      <c r="D35" s="154">
        <v>200000.0</v>
      </c>
      <c r="E35" s="65">
        <f t="shared" si="11"/>
        <v>-200000</v>
      </c>
      <c r="F35" s="61" t="s">
        <v>301</v>
      </c>
      <c r="G35" s="78"/>
      <c r="H35" s="106" t="s">
        <v>183</v>
      </c>
      <c r="I35" s="65">
        <f>C16</f>
        <v>0</v>
      </c>
      <c r="J35" s="78"/>
      <c r="K35" s="1"/>
      <c r="L35" s="58" t="s">
        <v>250</v>
      </c>
      <c r="M35" s="52">
        <f>M23</f>
        <v>0</v>
      </c>
      <c r="N35" s="110" t="s">
        <v>251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03" t="s">
        <v>303</v>
      </c>
      <c r="C36" s="93"/>
      <c r="D36" s="158">
        <v>100000.0</v>
      </c>
      <c r="E36" s="65">
        <f t="shared" si="11"/>
        <v>-100000</v>
      </c>
      <c r="F36" s="109" t="s">
        <v>304</v>
      </c>
      <c r="G36" s="78"/>
      <c r="H36" s="106" t="s">
        <v>185</v>
      </c>
      <c r="I36" s="65">
        <f>I34-I35</f>
        <v>0</v>
      </c>
      <c r="J36" s="78"/>
      <c r="K36" s="1"/>
      <c r="L36" s="58" t="s">
        <v>252</v>
      </c>
      <c r="M36" s="65">
        <f>IF(M34="支払い",M35,0)</f>
        <v>0</v>
      </c>
      <c r="N36" s="95" t="s">
        <v>253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53" t="s">
        <v>305</v>
      </c>
      <c r="C37" s="162">
        <v>250000.0</v>
      </c>
      <c r="D37" s="162">
        <v>250000.0</v>
      </c>
      <c r="E37" s="155">
        <f t="shared" si="11"/>
        <v>0</v>
      </c>
      <c r="F37" s="156" t="s">
        <v>306</v>
      </c>
      <c r="G37" s="78"/>
      <c r="H37" s="106" t="s">
        <v>254</v>
      </c>
      <c r="I37" s="96">
        <f>IF(I34=0,0,I36/I34)</f>
        <v>0</v>
      </c>
      <c r="J37" s="78"/>
      <c r="K37" s="1"/>
      <c r="L37" s="111" t="s">
        <v>255</v>
      </c>
      <c r="M37" s="112">
        <f>M35-M36</f>
        <v>0</v>
      </c>
      <c r="N37" s="95" t="s">
        <v>256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57" t="s">
        <v>307</v>
      </c>
      <c r="C38" s="163"/>
      <c r="D38" s="154">
        <v>45000.0</v>
      </c>
      <c r="E38" s="155">
        <f t="shared" si="11"/>
        <v>-45000</v>
      </c>
      <c r="F38" s="156" t="s">
        <v>308</v>
      </c>
      <c r="G38" s="78"/>
      <c r="H38" s="106" t="s">
        <v>208</v>
      </c>
      <c r="I38" s="65">
        <f>C30</f>
        <v>14433.83333</v>
      </c>
      <c r="J38" s="78"/>
      <c r="K38" s="1"/>
      <c r="L38" s="58" t="s">
        <v>257</v>
      </c>
      <c r="M38" s="52">
        <f>'5月'!M39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53" t="s">
        <v>309</v>
      </c>
      <c r="C39" s="164"/>
      <c r="D39" s="154">
        <v>82500.0</v>
      </c>
      <c r="E39" s="155">
        <f t="shared" si="11"/>
        <v>-82500</v>
      </c>
      <c r="F39" s="165" t="s">
        <v>310</v>
      </c>
      <c r="G39" s="78"/>
      <c r="H39" s="113" t="s">
        <v>223</v>
      </c>
      <c r="I39" s="114">
        <f>I36-I38</f>
        <v>-14433.83333</v>
      </c>
      <c r="J39" s="115"/>
      <c r="K39" s="1"/>
      <c r="L39" s="116" t="s">
        <v>258</v>
      </c>
      <c r="M39" s="117">
        <f>M38+M37</f>
        <v>0</v>
      </c>
      <c r="N39" s="95" t="s">
        <v>259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57"/>
      <c r="C40" s="164"/>
      <c r="D40" s="154"/>
      <c r="E40" s="155"/>
      <c r="F40" s="156"/>
      <c r="G40" s="118"/>
      <c r="H40" s="118"/>
      <c r="I40" s="118"/>
      <c r="J40" s="1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57" t="s">
        <v>311</v>
      </c>
      <c r="C41" s="162">
        <v>68888.0</v>
      </c>
      <c r="D41" s="162">
        <v>68888.0</v>
      </c>
      <c r="E41" s="155">
        <f>C41-D41</f>
        <v>0</v>
      </c>
      <c r="F41" s="156" t="s">
        <v>312</v>
      </c>
      <c r="G41" s="118"/>
      <c r="H41" s="118"/>
      <c r="I41" s="118"/>
      <c r="J41" s="118"/>
      <c r="K41" s="1"/>
      <c r="L41" s="58" t="s">
        <v>260</v>
      </c>
      <c r="M41" s="59"/>
      <c r="N41" s="95" t="s">
        <v>261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3" t="s">
        <v>313</v>
      </c>
      <c r="C42" s="76"/>
      <c r="D42" s="154">
        <v>700000.0</v>
      </c>
      <c r="E42" s="65"/>
      <c r="F42" s="61"/>
      <c r="G42" s="118"/>
      <c r="H42" s="118"/>
      <c r="I42" s="118"/>
      <c r="J42" s="1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8"/>
      <c r="C43" s="76"/>
      <c r="D43" s="154"/>
      <c r="E43" s="65"/>
      <c r="F43" s="109"/>
      <c r="G43" s="118"/>
      <c r="H43" s="118"/>
      <c r="I43" s="118"/>
      <c r="J43" s="1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66"/>
      <c r="C44" s="76"/>
      <c r="D44" s="154"/>
      <c r="E44" s="65"/>
      <c r="F44" s="61"/>
      <c r="G44" s="118"/>
      <c r="H44" s="118"/>
      <c r="I44" s="118"/>
      <c r="J44" s="1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8"/>
      <c r="C45" s="1"/>
      <c r="D45" s="76"/>
      <c r="E45" s="65"/>
      <c r="F45" s="61"/>
      <c r="G45" s="118"/>
      <c r="H45" s="118"/>
      <c r="I45" s="118"/>
      <c r="J45" s="1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3"/>
      <c r="C46" s="76"/>
      <c r="D46" s="59"/>
      <c r="E46" s="65"/>
      <c r="F46" s="109"/>
      <c r="G46" s="118"/>
      <c r="H46" s="118"/>
      <c r="I46" s="118"/>
      <c r="J46" s="1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8"/>
      <c r="C47" s="1"/>
      <c r="D47" s="76"/>
      <c r="E47" s="65"/>
      <c r="F47" s="61"/>
      <c r="G47" s="118"/>
      <c r="H47" s="118"/>
      <c r="I47" s="118"/>
      <c r="J47" s="1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3"/>
      <c r="C48" s="1"/>
      <c r="D48" s="76"/>
      <c r="E48" s="65"/>
      <c r="F48" s="109"/>
      <c r="G48" s="118"/>
      <c r="H48" s="118"/>
      <c r="I48" s="118"/>
      <c r="J48" s="1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8"/>
      <c r="C49" s="1"/>
      <c r="D49" s="76"/>
      <c r="E49" s="65"/>
      <c r="F49" s="109"/>
      <c r="G49" s="118"/>
      <c r="H49" s="118"/>
      <c r="I49" s="118"/>
      <c r="J49" s="1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3"/>
      <c r="C50" s="1"/>
      <c r="D50" s="76"/>
      <c r="E50" s="65"/>
      <c r="F50" s="109"/>
      <c r="G50" s="118"/>
      <c r="H50" s="118"/>
      <c r="I50" s="118"/>
      <c r="J50" s="1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8"/>
      <c r="C51" s="1"/>
      <c r="D51" s="76"/>
      <c r="E51" s="65"/>
      <c r="F51" s="61"/>
      <c r="G51" s="118"/>
      <c r="H51" s="118"/>
      <c r="I51" s="118"/>
      <c r="J51" s="1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3"/>
      <c r="C52" s="1"/>
      <c r="D52" s="76"/>
      <c r="E52" s="65"/>
      <c r="F52" s="61"/>
      <c r="G52" s="118"/>
      <c r="H52" s="118"/>
      <c r="I52" s="118"/>
      <c r="J52" s="1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8"/>
      <c r="C53" s="76"/>
      <c r="D53" s="59"/>
      <c r="E53" s="65">
        <f t="shared" ref="E53:E54" si="13">C53-D53</f>
        <v>0</v>
      </c>
      <c r="F53" s="61"/>
      <c r="G53" s="118"/>
      <c r="H53" s="118"/>
      <c r="I53" s="118"/>
      <c r="J53" s="1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2" t="s">
        <v>262</v>
      </c>
      <c r="C54" s="73">
        <f t="shared" ref="C54:D54" si="12">SUM(C34:C53)</f>
        <v>318888</v>
      </c>
      <c r="D54" s="73">
        <f t="shared" si="12"/>
        <v>1946388</v>
      </c>
      <c r="E54" s="73">
        <f t="shared" si="13"/>
        <v>-1627500</v>
      </c>
      <c r="F54" s="74"/>
      <c r="G54" s="118"/>
      <c r="H54" s="119"/>
      <c r="I54" s="120"/>
      <c r="J54" s="1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18"/>
      <c r="H55" s="119"/>
      <c r="I55" s="121"/>
      <c r="J55" s="1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2" t="s">
        <v>263</v>
      </c>
      <c r="C56" s="123">
        <f>C16+C30+D54</f>
        <v>1960821.833</v>
      </c>
      <c r="D56" s="124"/>
      <c r="E56" s="124"/>
      <c r="F56" s="1"/>
      <c r="G56" s="118"/>
      <c r="H56" s="119"/>
      <c r="I56" s="121"/>
      <c r="J56" s="1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18"/>
      <c r="H57" s="118"/>
      <c r="I57" s="118"/>
      <c r="J57" s="1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5" t="s">
        <v>264</v>
      </c>
      <c r="H58" s="46"/>
      <c r="I58" s="46"/>
      <c r="J58" s="4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6"/>
      <c r="H59" s="56" t="s">
        <v>3</v>
      </c>
      <c r="I59" s="56" t="s">
        <v>133</v>
      </c>
      <c r="J59" s="5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6"/>
      <c r="H60" s="127" t="s">
        <v>223</v>
      </c>
      <c r="I60" s="128">
        <f>I39</f>
        <v>-14433.83333</v>
      </c>
      <c r="J60" s="12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6"/>
      <c r="H61" s="127" t="s">
        <v>265</v>
      </c>
      <c r="I61" s="130">
        <f>C29</f>
        <v>14433.83333</v>
      </c>
      <c r="J61" s="131" t="s">
        <v>266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2"/>
      <c r="H62" s="72" t="s">
        <v>267</v>
      </c>
      <c r="I62" s="73">
        <f>I60+I61+M37-M41</f>
        <v>0</v>
      </c>
      <c r="J62" s="133" t="s">
        <v>268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18"/>
      <c r="H63" s="118"/>
      <c r="I63" s="118"/>
      <c r="J63" s="1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6"/>
      <c r="H64" s="127" t="s">
        <v>269</v>
      </c>
      <c r="I64" s="130">
        <f>D54</f>
        <v>1946388</v>
      </c>
      <c r="J64" s="131" t="s">
        <v>270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2"/>
      <c r="H65" s="72" t="s">
        <v>271</v>
      </c>
      <c r="I65" s="73">
        <f>-I64</f>
        <v>-1946388</v>
      </c>
      <c r="J65" s="133" t="s">
        <v>272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18"/>
      <c r="H66" s="118"/>
      <c r="I66" s="118"/>
      <c r="J66" s="1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6"/>
      <c r="H67" s="127" t="s">
        <v>273</v>
      </c>
      <c r="I67" s="130" t="str">
        <f>C6</f>
        <v/>
      </c>
      <c r="J67" s="12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2"/>
      <c r="H68" s="72" t="s">
        <v>274</v>
      </c>
      <c r="I68" s="73" t="str">
        <f>I67</f>
        <v/>
      </c>
      <c r="J68" s="1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18"/>
      <c r="H69" s="118"/>
      <c r="I69" s="118"/>
      <c r="J69" s="1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3" t="s">
        <v>275</v>
      </c>
      <c r="H70" s="46"/>
      <c r="I70" s="46"/>
      <c r="J70" s="4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4"/>
      <c r="H71" s="58" t="s">
        <v>276</v>
      </c>
      <c r="I71" s="89">
        <f>C5</f>
        <v>2886000</v>
      </c>
      <c r="J71" s="13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4"/>
      <c r="H72" s="58" t="s">
        <v>277</v>
      </c>
      <c r="I72" s="104">
        <f>I62</f>
        <v>0</v>
      </c>
      <c r="J72" s="13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4"/>
      <c r="H73" s="58" t="s">
        <v>278</v>
      </c>
      <c r="I73" s="104">
        <f>I65</f>
        <v>-1946388</v>
      </c>
      <c r="J73" s="1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4"/>
      <c r="H74" s="58" t="s">
        <v>279</v>
      </c>
      <c r="I74" s="104" t="str">
        <f>I68</f>
        <v/>
      </c>
      <c r="J74" s="1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6"/>
      <c r="H75" s="137" t="s">
        <v>280</v>
      </c>
      <c r="I75" s="138">
        <f>I71+I72+I73+I74</f>
        <v>939612</v>
      </c>
      <c r="J75" s="139" t="s">
        <v>281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18"/>
      <c r="H76" s="118"/>
      <c r="I76" s="118"/>
      <c r="J76" s="1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18"/>
      <c r="H77" s="95" t="s">
        <v>282</v>
      </c>
      <c r="I77" s="118"/>
      <c r="J77" s="1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4"/>
      <c r="H78" s="140" t="s">
        <v>283</v>
      </c>
      <c r="I78" s="141">
        <f>I39</f>
        <v>-14433.83333</v>
      </c>
      <c r="J78" s="1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4"/>
      <c r="H79" s="140" t="s">
        <v>284</v>
      </c>
      <c r="I79" s="141">
        <f>I72+I73+I74</f>
        <v>-1946388</v>
      </c>
      <c r="J79" s="1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2"/>
      <c r="H80" s="143" t="s">
        <v>285</v>
      </c>
      <c r="I80" s="144">
        <f>I79-I78</f>
        <v>-1931954.167</v>
      </c>
      <c r="J80" s="143" t="s">
        <v>286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18"/>
      <c r="H81" s="118"/>
      <c r="I81" s="118"/>
      <c r="J81" s="1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6"/>
      <c r="H82" s="145" t="s">
        <v>287</v>
      </c>
      <c r="I82" s="146">
        <f>I75</f>
        <v>939612</v>
      </c>
      <c r="J82" s="147" t="s">
        <v>288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48"/>
      <c r="H83" s="149" t="s">
        <v>289</v>
      </c>
      <c r="I83" s="150">
        <f>I75-M37</f>
        <v>939612</v>
      </c>
      <c r="J83" s="151" t="s">
        <v>290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18"/>
      <c r="H84" s="118"/>
      <c r="I84" s="118"/>
      <c r="J84" s="1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3" width="13.86"/>
    <col customWidth="1" min="14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4" t="s">
        <v>314</v>
      </c>
      <c r="K1" s="1"/>
      <c r="L1" s="1"/>
      <c r="M1" s="1"/>
      <c r="N1" s="1"/>
      <c r="O1" s="1"/>
      <c r="P1" s="1"/>
      <c r="Q1" s="1"/>
      <c r="R1" s="1"/>
      <c r="S1" s="1"/>
      <c r="T1" s="1"/>
      <c r="U1" s="45" t="s">
        <v>137</v>
      </c>
      <c r="V1" s="46"/>
      <c r="W1" s="46"/>
      <c r="X1" s="46"/>
      <c r="Y1" s="46"/>
      <c r="Z1" s="1"/>
    </row>
    <row r="2" ht="21.0" customHeight="1">
      <c r="A2" s="1"/>
      <c r="B2" s="47" t="s">
        <v>138</v>
      </c>
      <c r="C2" s="48">
        <f>I75</f>
        <v>3983694</v>
      </c>
      <c r="D2" s="1"/>
      <c r="E2" s="49" t="s">
        <v>139</v>
      </c>
      <c r="F2" s="50">
        <f>C16+SUM(C20:C23)+SUM(C25:C28)+M36+D54+M41</f>
        <v>455918</v>
      </c>
      <c r="G2" s="1"/>
      <c r="H2" s="49" t="s">
        <v>140</v>
      </c>
      <c r="I2" s="51">
        <f>I39</f>
        <v>-14433.83333</v>
      </c>
      <c r="J2" s="1"/>
      <c r="K2" s="1"/>
      <c r="L2" s="47" t="s">
        <v>141</v>
      </c>
      <c r="M2" s="52">
        <f>'8月'!C20+'8月'!C21+'8月'!C22+'8月'!C23+'8月'!C25</f>
        <v>0</v>
      </c>
      <c r="N2" s="1"/>
      <c r="O2" s="1"/>
      <c r="P2" s="1"/>
      <c r="Q2" s="1"/>
      <c r="R2" s="1"/>
      <c r="S2" s="1"/>
      <c r="T2" s="1"/>
      <c r="U2" s="3" t="s">
        <v>142</v>
      </c>
      <c r="Z2" s="1"/>
    </row>
    <row r="3" ht="15.0" customHeight="1">
      <c r="A3" s="1"/>
      <c r="B3" s="53" t="s">
        <v>143</v>
      </c>
      <c r="C3" s="46"/>
      <c r="D3" s="46"/>
      <c r="E3" s="46"/>
      <c r="F3" s="1"/>
      <c r="G3" s="54" t="s">
        <v>144</v>
      </c>
      <c r="H3" s="46"/>
      <c r="I3" s="46"/>
      <c r="J3" s="46"/>
      <c r="K3" s="1"/>
      <c r="L3" s="55" t="s">
        <v>145</v>
      </c>
      <c r="M3" s="46"/>
      <c r="N3" s="46"/>
      <c r="O3" s="46"/>
      <c r="P3" s="46"/>
      <c r="Q3" s="46"/>
      <c r="R3" s="46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6" t="s">
        <v>146</v>
      </c>
      <c r="C4" s="56" t="s">
        <v>133</v>
      </c>
      <c r="D4" s="56" t="s">
        <v>147</v>
      </c>
      <c r="E4" s="56" t="s">
        <v>148</v>
      </c>
      <c r="F4" s="1"/>
      <c r="G4" s="56" t="s">
        <v>70</v>
      </c>
      <c r="H4" s="56" t="s">
        <v>133</v>
      </c>
      <c r="I4" s="56" t="s">
        <v>147</v>
      </c>
      <c r="J4" s="56" t="s">
        <v>148</v>
      </c>
      <c r="K4" s="1"/>
      <c r="L4" s="56" t="s">
        <v>149</v>
      </c>
      <c r="M4" s="56" t="s">
        <v>150</v>
      </c>
      <c r="N4" s="56" t="s">
        <v>151</v>
      </c>
      <c r="O4" s="56" t="s">
        <v>152</v>
      </c>
      <c r="P4" s="56" t="s">
        <v>153</v>
      </c>
      <c r="Q4" s="56" t="s">
        <v>154</v>
      </c>
      <c r="R4" s="56" t="s">
        <v>155</v>
      </c>
      <c r="S4" s="1"/>
      <c r="T4" s="1"/>
      <c r="U4" s="57" t="s">
        <v>156</v>
      </c>
      <c r="V4" s="46"/>
      <c r="W4" s="46"/>
      <c r="X4" s="46"/>
      <c r="Y4" s="46"/>
      <c r="Z4" s="1"/>
    </row>
    <row r="5" ht="15.0" customHeight="1">
      <c r="A5" s="1"/>
      <c r="B5" s="58" t="s">
        <v>292</v>
      </c>
      <c r="C5" s="52">
        <f>'6月'!I75</f>
        <v>939612</v>
      </c>
      <c r="D5" s="60"/>
      <c r="E5" s="152"/>
      <c r="F5" s="1"/>
      <c r="G5" s="58" t="s">
        <v>158</v>
      </c>
      <c r="H5" s="52">
        <f>'7月日次売上'!C35</f>
        <v>0</v>
      </c>
      <c r="I5" s="60"/>
      <c r="J5" s="152"/>
      <c r="K5" s="1"/>
      <c r="L5" s="60"/>
      <c r="M5" s="59"/>
      <c r="N5" s="63"/>
      <c r="O5" s="64"/>
      <c r="P5" s="59"/>
      <c r="Q5" s="65">
        <f t="shared" ref="Q5:Q12" si="1">M5*N5*O5</f>
        <v>0</v>
      </c>
      <c r="R5" s="65">
        <f t="shared" ref="R5:R12" si="2">P5*N5</f>
        <v>0</v>
      </c>
      <c r="S5" s="1"/>
      <c r="T5" s="1"/>
      <c r="U5" s="66" t="s">
        <v>3</v>
      </c>
      <c r="V5" s="67" t="s">
        <v>159</v>
      </c>
      <c r="W5" s="67" t="s">
        <v>160</v>
      </c>
      <c r="X5" s="67" t="s">
        <v>161</v>
      </c>
      <c r="Y5" s="66" t="s">
        <v>162</v>
      </c>
      <c r="Z5" s="1"/>
    </row>
    <row r="6" ht="15.0" customHeight="1">
      <c r="A6" s="1"/>
      <c r="B6" s="58" t="s">
        <v>163</v>
      </c>
      <c r="C6" s="59">
        <v>3500000.0</v>
      </c>
      <c r="D6" s="60"/>
      <c r="E6" s="152" t="s">
        <v>315</v>
      </c>
      <c r="F6" s="1"/>
      <c r="G6" s="58" t="s">
        <v>164</v>
      </c>
      <c r="H6" s="52">
        <f>'7月日次売上'!D35</f>
        <v>0</v>
      </c>
      <c r="I6" s="60"/>
      <c r="J6" s="152"/>
      <c r="K6" s="1"/>
      <c r="L6" s="60"/>
      <c r="M6" s="59"/>
      <c r="N6" s="63"/>
      <c r="O6" s="64"/>
      <c r="P6" s="59"/>
      <c r="Q6" s="65">
        <f t="shared" si="1"/>
        <v>0</v>
      </c>
      <c r="R6" s="65">
        <f t="shared" si="2"/>
        <v>0</v>
      </c>
      <c r="S6" s="1"/>
      <c r="T6" s="1"/>
      <c r="U6" s="6" t="s">
        <v>165</v>
      </c>
      <c r="V6" s="69">
        <f>'売上計画'!F38</f>
        <v>0</v>
      </c>
      <c r="W6" s="70" t="str">
        <f>IF(H26=0,"",H24/H26/2)</f>
        <v/>
      </c>
      <c r="X6" s="69">
        <f t="shared" ref="X6:X7" si="3">IF(W6="",0,W6-V6)</f>
        <v>0</v>
      </c>
      <c r="Y6" s="71">
        <f t="shared" ref="Y6:Y7" si="4">IF(OR(W6="",V6=0),0,W6/V6)</f>
        <v>0</v>
      </c>
      <c r="Z6" s="1"/>
    </row>
    <row r="7" ht="15.0" customHeight="1">
      <c r="A7" s="1"/>
      <c r="B7" s="72" t="s">
        <v>166</v>
      </c>
      <c r="C7" s="73">
        <f>SUM(C5:C6)</f>
        <v>4439612</v>
      </c>
      <c r="D7" s="74"/>
      <c r="E7" s="74"/>
      <c r="F7" s="1"/>
      <c r="G7" s="58" t="s">
        <v>167</v>
      </c>
      <c r="H7" s="52">
        <f>'7月日次売上'!E35</f>
        <v>0</v>
      </c>
      <c r="I7" s="60"/>
      <c r="J7" s="152"/>
      <c r="K7" s="1"/>
      <c r="L7" s="60"/>
      <c r="M7" s="59"/>
      <c r="N7" s="63"/>
      <c r="O7" s="64"/>
      <c r="P7" s="59"/>
      <c r="Q7" s="65">
        <f t="shared" si="1"/>
        <v>0</v>
      </c>
      <c r="R7" s="65">
        <f t="shared" si="2"/>
        <v>0</v>
      </c>
      <c r="S7" s="1"/>
      <c r="T7" s="1"/>
      <c r="U7" s="6" t="s">
        <v>168</v>
      </c>
      <c r="V7" s="69">
        <f>'売上計画'!F39</f>
        <v>0</v>
      </c>
      <c r="W7" s="70" t="str">
        <f>IF(H26=0,"",H24/H26/2)</f>
        <v/>
      </c>
      <c r="X7" s="69">
        <f t="shared" si="3"/>
        <v>0</v>
      </c>
      <c r="Y7" s="71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58" t="s">
        <v>169</v>
      </c>
      <c r="H8" s="52">
        <f>'7月日次売上'!F35</f>
        <v>0</v>
      </c>
      <c r="I8" s="60"/>
      <c r="J8" s="152"/>
      <c r="K8" s="1"/>
      <c r="L8" s="60"/>
      <c r="M8" s="59"/>
      <c r="N8" s="63"/>
      <c r="O8" s="64"/>
      <c r="P8" s="59"/>
      <c r="Q8" s="65">
        <f t="shared" si="1"/>
        <v>0</v>
      </c>
      <c r="R8" s="65">
        <f t="shared" si="2"/>
        <v>0</v>
      </c>
      <c r="S8" s="1"/>
      <c r="T8" s="1"/>
      <c r="U8" s="6" t="s">
        <v>170</v>
      </c>
      <c r="V8" s="69">
        <f>'売上計画'!F45</f>
        <v>0</v>
      </c>
      <c r="W8" s="69">
        <f>H20</f>
        <v>0</v>
      </c>
      <c r="X8" s="69">
        <f t="shared" ref="X8:X9" si="5">W8-V8</f>
        <v>0</v>
      </c>
      <c r="Y8" s="71">
        <f t="shared" ref="Y8:Y9" si="6">IF(V8=0,0,W8/V8)</f>
        <v>0</v>
      </c>
      <c r="Z8" s="1"/>
    </row>
    <row r="9" ht="15.0" customHeight="1">
      <c r="A9" s="1"/>
      <c r="B9" s="75" t="s">
        <v>171</v>
      </c>
      <c r="C9" s="46"/>
      <c r="D9" s="46"/>
      <c r="E9" s="46"/>
      <c r="F9" s="1"/>
      <c r="G9" s="58" t="s">
        <v>172</v>
      </c>
      <c r="H9" s="52">
        <f>'7月日次売上'!G35</f>
        <v>0</v>
      </c>
      <c r="I9" s="60"/>
      <c r="J9" s="152"/>
      <c r="K9" s="1"/>
      <c r="L9" s="60"/>
      <c r="M9" s="59"/>
      <c r="N9" s="63"/>
      <c r="O9" s="64"/>
      <c r="P9" s="59"/>
      <c r="Q9" s="65">
        <f t="shared" si="1"/>
        <v>0</v>
      </c>
      <c r="R9" s="65">
        <f t="shared" si="2"/>
        <v>0</v>
      </c>
      <c r="S9" s="1"/>
      <c r="T9" s="1"/>
      <c r="U9" s="6" t="s">
        <v>173</v>
      </c>
      <c r="V9" s="69">
        <f>IF((V6*'売上計画'!$C$7+V7*'売上計画'!$C$8)=0,0,V8/(V6*'売上計画'!$C$7+V7*'売上計画'!$C$8))</f>
        <v>0</v>
      </c>
      <c r="W9" s="69">
        <f>H25</f>
        <v>0</v>
      </c>
      <c r="X9" s="69">
        <f t="shared" si="5"/>
        <v>0</v>
      </c>
      <c r="Y9" s="71">
        <f t="shared" si="6"/>
        <v>0</v>
      </c>
      <c r="Z9" s="1"/>
    </row>
    <row r="10" ht="15.0" customHeight="1">
      <c r="A10" s="1"/>
      <c r="B10" s="56" t="s">
        <v>146</v>
      </c>
      <c r="C10" s="56" t="s">
        <v>133</v>
      </c>
      <c r="D10" s="56" t="s">
        <v>147</v>
      </c>
      <c r="E10" s="56" t="s">
        <v>148</v>
      </c>
      <c r="F10" s="1"/>
      <c r="G10" s="58" t="s">
        <v>174</v>
      </c>
      <c r="H10" s="52">
        <f>'7月日次売上'!H35</f>
        <v>0</v>
      </c>
      <c r="I10" s="60"/>
      <c r="J10" s="152"/>
      <c r="K10" s="1"/>
      <c r="L10" s="60"/>
      <c r="M10" s="59"/>
      <c r="N10" s="63"/>
      <c r="O10" s="64"/>
      <c r="P10" s="59"/>
      <c r="Q10" s="65">
        <f t="shared" si="1"/>
        <v>0</v>
      </c>
      <c r="R10" s="65">
        <f t="shared" si="2"/>
        <v>0</v>
      </c>
      <c r="S10" s="1"/>
      <c r="T10" s="1"/>
      <c r="U10" s="1"/>
      <c r="V10" s="70"/>
      <c r="W10" s="70"/>
      <c r="X10" s="70"/>
      <c r="Y10" s="1"/>
      <c r="Z10" s="1"/>
    </row>
    <row r="11" ht="15.0" customHeight="1">
      <c r="A11" s="1"/>
      <c r="B11" s="58" t="s">
        <v>175</v>
      </c>
      <c r="C11" s="76">
        <f>SUMIFS('freee実績'!$E:$E,'freee実績'!$B:$B,"2026-07",'freee実績'!$C:$C,"仕入高",'freee実績'!$D:$D,"コーヒー豆・茶葉")</f>
        <v>0</v>
      </c>
      <c r="D11" s="60"/>
      <c r="E11" s="152"/>
      <c r="F11" s="1"/>
      <c r="G11" s="72" t="s">
        <v>176</v>
      </c>
      <c r="H11" s="73">
        <f>SUM(H5:H10)</f>
        <v>0</v>
      </c>
      <c r="I11" s="74"/>
      <c r="J11" s="74"/>
      <c r="K11" s="1"/>
      <c r="L11" s="60"/>
      <c r="M11" s="59"/>
      <c r="N11" s="63"/>
      <c r="O11" s="64"/>
      <c r="P11" s="59"/>
      <c r="Q11" s="65">
        <f t="shared" si="1"/>
        <v>0</v>
      </c>
      <c r="R11" s="65">
        <f t="shared" si="2"/>
        <v>0</v>
      </c>
      <c r="S11" s="1"/>
      <c r="T11" s="1"/>
      <c r="U11" s="57" t="s">
        <v>177</v>
      </c>
      <c r="V11" s="46"/>
      <c r="W11" s="46"/>
      <c r="X11" s="46"/>
      <c r="Y11" s="46"/>
      <c r="Z11" s="1"/>
    </row>
    <row r="12" ht="15.0" customHeight="1">
      <c r="A12" s="1"/>
      <c r="B12" s="58" t="s">
        <v>178</v>
      </c>
      <c r="C12" s="76">
        <f>SUMIFS('freee実績'!$E:$E,'freee実績'!$B:$B,"2026-07",'freee実績'!$C:$C,"仕入高",'freee実績'!$D:$D,"牛乳・シロップ等")</f>
        <v>0</v>
      </c>
      <c r="D12" s="60"/>
      <c r="E12" s="152"/>
      <c r="F12" s="1"/>
      <c r="G12" s="1"/>
      <c r="H12" s="1"/>
      <c r="I12" s="1"/>
      <c r="J12" s="1"/>
      <c r="K12" s="1"/>
      <c r="L12" s="60"/>
      <c r="M12" s="59"/>
      <c r="N12" s="63"/>
      <c r="O12" s="64"/>
      <c r="P12" s="59"/>
      <c r="Q12" s="65">
        <f t="shared" si="1"/>
        <v>0</v>
      </c>
      <c r="R12" s="65">
        <f t="shared" si="2"/>
        <v>0</v>
      </c>
      <c r="S12" s="1"/>
      <c r="T12" s="1"/>
      <c r="U12" s="66" t="s">
        <v>3</v>
      </c>
      <c r="V12" s="67" t="s">
        <v>159</v>
      </c>
      <c r="W12" s="67" t="s">
        <v>160</v>
      </c>
      <c r="X12" s="67" t="s">
        <v>161</v>
      </c>
      <c r="Y12" s="66" t="s">
        <v>179</v>
      </c>
      <c r="Z12" s="1"/>
    </row>
    <row r="13" ht="15.0" customHeight="1">
      <c r="A13" s="1"/>
      <c r="B13" s="58" t="s">
        <v>180</v>
      </c>
      <c r="C13" s="76">
        <f>SUMIFS('freee実績'!$E:$E,'freee実績'!$B:$B,"2026-07",'freee実績'!$C:$C,"仕入高",'freee実績'!$D:$D,"フード材料費")</f>
        <v>0</v>
      </c>
      <c r="D13" s="60"/>
      <c r="E13" s="152"/>
      <c r="F13" s="1"/>
      <c r="G13" s="54" t="s">
        <v>181</v>
      </c>
      <c r="H13" s="46"/>
      <c r="I13" s="46"/>
      <c r="J13" s="46"/>
      <c r="K13" s="1"/>
      <c r="L13" s="72" t="s">
        <v>182</v>
      </c>
      <c r="M13" s="74"/>
      <c r="N13" s="74"/>
      <c r="O13" s="74"/>
      <c r="P13" s="74"/>
      <c r="Q13" s="73">
        <f t="shared" ref="Q13:R13" si="7">SUM(Q5:Q12)</f>
        <v>0</v>
      </c>
      <c r="R13" s="73">
        <f t="shared" si="7"/>
        <v>0</v>
      </c>
      <c r="S13" s="1"/>
      <c r="T13" s="1"/>
      <c r="U13" s="6" t="s">
        <v>183</v>
      </c>
      <c r="V13" s="69">
        <f>'売上計画'!F46</f>
        <v>0</v>
      </c>
      <c r="W13" s="69">
        <f>C16</f>
        <v>0</v>
      </c>
      <c r="X13" s="69">
        <f t="shared" ref="X13:X14" si="8">W13-V13</f>
        <v>0</v>
      </c>
      <c r="Y13" s="71">
        <f>IF(W8=0,0,W13/W8)</f>
        <v>0</v>
      </c>
      <c r="Z13" s="1"/>
    </row>
    <row r="14" ht="15.0" customHeight="1">
      <c r="A14" s="1"/>
      <c r="B14" s="58" t="s">
        <v>184</v>
      </c>
      <c r="C14" s="76">
        <f>SUMIFS('freee実績'!$E:$E,'freee実績'!$B:$B,"2026-07",'freee実績'!$C:$C,"仕入高",'freee実績'!$D:$D,"包装資材・消耗品")</f>
        <v>0</v>
      </c>
      <c r="D14" s="60"/>
      <c r="E14" s="152"/>
      <c r="F14" s="1"/>
      <c r="G14" s="56" t="s">
        <v>70</v>
      </c>
      <c r="H14" s="56" t="s">
        <v>133</v>
      </c>
      <c r="I14" s="56" t="s">
        <v>147</v>
      </c>
      <c r="J14" s="56" t="s">
        <v>148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185</v>
      </c>
      <c r="V14" s="69">
        <f>'売上計画'!F47</f>
        <v>0</v>
      </c>
      <c r="W14" s="69">
        <f>H20-C16</f>
        <v>0</v>
      </c>
      <c r="X14" s="69">
        <f t="shared" si="8"/>
        <v>0</v>
      </c>
      <c r="Y14" s="71">
        <f>IF(W8=0,0,W14/W8)</f>
        <v>0</v>
      </c>
      <c r="Z14" s="1"/>
    </row>
    <row r="15" ht="15.0" customHeight="1">
      <c r="A15" s="1"/>
      <c r="B15" s="58" t="s">
        <v>186</v>
      </c>
      <c r="C15" s="76">
        <f>SUMIFS('freee実績'!$E:$E,'freee実績'!$B:$B,"2026-07",'freee実績'!$C:$C,"仕入高",'freee実績'!$D:$D,"その他原価")</f>
        <v>0</v>
      </c>
      <c r="D15" s="60"/>
      <c r="E15" s="152"/>
      <c r="F15" s="1"/>
      <c r="G15" s="58" t="s">
        <v>187</v>
      </c>
      <c r="H15" s="52">
        <f>'7月日次売上'!I35</f>
        <v>0</v>
      </c>
      <c r="I15" s="60"/>
      <c r="J15" s="152"/>
      <c r="K15" s="1"/>
      <c r="L15" s="77" t="s">
        <v>188</v>
      </c>
      <c r="M15" s="46"/>
      <c r="N15" s="46"/>
      <c r="O15" s="46"/>
      <c r="P15" s="46"/>
      <c r="Q15" s="46"/>
      <c r="R15" s="46"/>
      <c r="S15" s="1"/>
      <c r="T15" s="1"/>
      <c r="U15" s="1"/>
      <c r="V15" s="70"/>
      <c r="W15" s="70"/>
      <c r="X15" s="70"/>
      <c r="Y15" s="1"/>
      <c r="Z15" s="1"/>
    </row>
    <row r="16" ht="15.0" customHeight="1">
      <c r="A16" s="1"/>
      <c r="B16" s="72" t="s">
        <v>189</v>
      </c>
      <c r="C16" s="73">
        <f>SUM(C11:C15)</f>
        <v>0</v>
      </c>
      <c r="D16" s="74"/>
      <c r="E16" s="74"/>
      <c r="F16" s="1"/>
      <c r="G16" s="58" t="s">
        <v>190</v>
      </c>
      <c r="H16" s="76"/>
      <c r="I16" s="60"/>
      <c r="J16" s="152"/>
      <c r="K16" s="1"/>
      <c r="L16" s="56" t="s">
        <v>3</v>
      </c>
      <c r="M16" s="56" t="s">
        <v>191</v>
      </c>
      <c r="N16" s="56"/>
      <c r="O16" s="56"/>
      <c r="P16" s="56"/>
      <c r="Q16" s="56"/>
      <c r="R16" s="56" t="s">
        <v>5</v>
      </c>
      <c r="S16" s="1"/>
      <c r="T16" s="1"/>
      <c r="U16" s="57" t="s">
        <v>192</v>
      </c>
      <c r="V16" s="46"/>
      <c r="W16" s="46"/>
      <c r="X16" s="46"/>
      <c r="Y16" s="46"/>
      <c r="Z16" s="1"/>
    </row>
    <row r="17" ht="15.0" customHeight="1">
      <c r="A17" s="1"/>
      <c r="B17" s="1"/>
      <c r="C17" s="1"/>
      <c r="D17" s="1"/>
      <c r="E17" s="1"/>
      <c r="F17" s="1"/>
      <c r="G17" s="58" t="s">
        <v>193</v>
      </c>
      <c r="H17" s="76"/>
      <c r="I17" s="60"/>
      <c r="J17" s="152"/>
      <c r="K17" s="1"/>
      <c r="L17" s="58" t="s">
        <v>194</v>
      </c>
      <c r="M17" s="59"/>
      <c r="N17" s="78"/>
      <c r="O17" s="78"/>
      <c r="P17" s="78"/>
      <c r="Q17" s="78"/>
      <c r="R17" s="152"/>
      <c r="S17" s="1"/>
      <c r="T17" s="1"/>
      <c r="U17" s="66" t="s">
        <v>3</v>
      </c>
      <c r="V17" s="67" t="s">
        <v>159</v>
      </c>
      <c r="W17" s="67" t="s">
        <v>160</v>
      </c>
      <c r="X17" s="67" t="s">
        <v>161</v>
      </c>
      <c r="Y17" s="1"/>
      <c r="Z17" s="1"/>
    </row>
    <row r="18" ht="15.0" customHeight="1">
      <c r="A18" s="1"/>
      <c r="B18" s="77" t="s">
        <v>195</v>
      </c>
      <c r="C18" s="46"/>
      <c r="D18" s="46"/>
      <c r="E18" s="46"/>
      <c r="F18" s="1"/>
      <c r="G18" s="72" t="s">
        <v>196</v>
      </c>
      <c r="H18" s="73">
        <f>SUM(H15:H17)</f>
        <v>0</v>
      </c>
      <c r="I18" s="74"/>
      <c r="J18" s="74"/>
      <c r="K18" s="1"/>
      <c r="L18" s="58" t="s">
        <v>197</v>
      </c>
      <c r="M18" s="59"/>
      <c r="N18" s="78"/>
      <c r="O18" s="78"/>
      <c r="P18" s="78"/>
      <c r="Q18" s="78"/>
      <c r="R18" s="152"/>
      <c r="S18" s="1"/>
      <c r="T18" s="1"/>
      <c r="U18" s="6" t="s">
        <v>198</v>
      </c>
      <c r="V18" s="69">
        <f>'売上計画'!F54</f>
        <v>0</v>
      </c>
      <c r="W18" s="69" t="str">
        <f>C24</f>
        <v/>
      </c>
      <c r="X18" s="69">
        <f t="shared" ref="X18:X21" si="9">W18-V18</f>
        <v>0</v>
      </c>
      <c r="Y18" s="1"/>
      <c r="Z18" s="1"/>
    </row>
    <row r="19" ht="15.0" customHeight="1">
      <c r="A19" s="1"/>
      <c r="B19" s="56" t="s">
        <v>146</v>
      </c>
      <c r="C19" s="56" t="s">
        <v>133</v>
      </c>
      <c r="D19" s="56" t="s">
        <v>147</v>
      </c>
      <c r="E19" s="56" t="s">
        <v>148</v>
      </c>
      <c r="F19" s="1"/>
      <c r="G19" s="1"/>
      <c r="H19" s="1"/>
      <c r="I19" s="1"/>
      <c r="J19" s="1"/>
      <c r="K19" s="1"/>
      <c r="L19" s="58" t="s">
        <v>199</v>
      </c>
      <c r="M19" s="59"/>
      <c r="N19" s="78"/>
      <c r="O19" s="78"/>
      <c r="P19" s="78"/>
      <c r="Q19" s="78"/>
      <c r="R19" s="152"/>
      <c r="S19" s="1"/>
      <c r="T19" s="1"/>
      <c r="U19" s="6" t="s">
        <v>200</v>
      </c>
      <c r="V19" s="69">
        <f>'売上計画'!F57</f>
        <v>0</v>
      </c>
      <c r="W19" s="69">
        <f>C20+C21+C22+C23</f>
        <v>0</v>
      </c>
      <c r="X19" s="69">
        <f t="shared" si="9"/>
        <v>0</v>
      </c>
      <c r="Y19" s="1"/>
      <c r="Z19" s="1"/>
    </row>
    <row r="20" ht="15.0" customHeight="1">
      <c r="A20" s="1"/>
      <c r="B20" s="79" t="s">
        <v>201</v>
      </c>
      <c r="C20" s="80">
        <f>SUMIFS('freee実績'!$E:$E,'freee実績'!$B:$B,"2026-07",'freee実績'!$C:$C,"地代家賃")</f>
        <v>0</v>
      </c>
      <c r="D20" s="81" t="s">
        <v>202</v>
      </c>
      <c r="E20" s="152"/>
      <c r="F20" s="1"/>
      <c r="G20" s="82" t="s">
        <v>203</v>
      </c>
      <c r="H20" s="83">
        <f>H11+H18</f>
        <v>0</v>
      </c>
      <c r="I20" s="84"/>
      <c r="J20" s="84"/>
      <c r="K20" s="1"/>
      <c r="L20" s="58" t="s">
        <v>204</v>
      </c>
      <c r="M20" s="59"/>
      <c r="N20" s="78"/>
      <c r="O20" s="78"/>
      <c r="P20" s="78"/>
      <c r="Q20" s="78"/>
      <c r="R20" s="152"/>
      <c r="S20" s="1"/>
      <c r="T20" s="1"/>
      <c r="U20" s="6" t="s">
        <v>205</v>
      </c>
      <c r="V20" s="69">
        <f>'売上計画'!F58</f>
        <v>0</v>
      </c>
      <c r="W20" s="69">
        <f>C25</f>
        <v>0</v>
      </c>
      <c r="X20" s="69">
        <f t="shared" si="9"/>
        <v>0</v>
      </c>
      <c r="Y20" s="1"/>
      <c r="Z20" s="1"/>
    </row>
    <row r="21" ht="15.0" customHeight="1">
      <c r="A21" s="1"/>
      <c r="B21" s="79" t="s">
        <v>206</v>
      </c>
      <c r="C21" s="80">
        <f>SUMIFS('freee実績'!$E:$E,'freee実績'!$B:$B,"2026-07",'freee実績'!$C:$C,"水道光熱費")</f>
        <v>0</v>
      </c>
      <c r="D21" s="81" t="s">
        <v>202</v>
      </c>
      <c r="E21" s="152"/>
      <c r="F21" s="1"/>
      <c r="G21" s="1"/>
      <c r="H21" s="1"/>
      <c r="I21" s="1"/>
      <c r="J21" s="1"/>
      <c r="K21" s="1"/>
      <c r="L21" s="72" t="s">
        <v>207</v>
      </c>
      <c r="M21" s="73">
        <f>SUM(M17:M20)</f>
        <v>0</v>
      </c>
      <c r="N21" s="74"/>
      <c r="O21" s="74"/>
      <c r="P21" s="74"/>
      <c r="Q21" s="74"/>
      <c r="R21" s="74"/>
      <c r="S21" s="1"/>
      <c r="T21" s="1"/>
      <c r="U21" s="6" t="s">
        <v>208</v>
      </c>
      <c r="V21" s="69">
        <f>'売上計画'!F59</f>
        <v>0</v>
      </c>
      <c r="W21" s="69">
        <f>C30</f>
        <v>14433.83333</v>
      </c>
      <c r="X21" s="69">
        <f t="shared" si="9"/>
        <v>14433.83333</v>
      </c>
      <c r="Y21" s="1"/>
      <c r="Z21" s="1"/>
    </row>
    <row r="22" ht="16.5" customHeight="1">
      <c r="A22" s="1"/>
      <c r="B22" s="79" t="s">
        <v>209</v>
      </c>
      <c r="C22" s="80">
        <f>SUMIFS('freee実績'!$E:$E,'freee実績'!$B:$B,"2026-07",'freee実績'!$C:$C,"通信費")</f>
        <v>0</v>
      </c>
      <c r="D22" s="81" t="s">
        <v>202</v>
      </c>
      <c r="E22" s="152"/>
      <c r="F22" s="1"/>
      <c r="G22" s="85" t="s">
        <v>210</v>
      </c>
      <c r="H22" s="46"/>
      <c r="I22" s="46"/>
      <c r="J22" s="4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0"/>
      <c r="W22" s="70"/>
      <c r="X22" s="70"/>
      <c r="Y22" s="1"/>
      <c r="Z22" s="1"/>
    </row>
    <row r="23" ht="15.0" customHeight="1">
      <c r="A23" s="1"/>
      <c r="B23" s="79" t="s">
        <v>211</v>
      </c>
      <c r="C23" s="80">
        <f>SUMIFS('freee実績'!$E:$E,'freee実績'!$B:$B,"2026-07",'freee実績'!$C:$C,"保険料")</f>
        <v>0</v>
      </c>
      <c r="D23" s="81" t="s">
        <v>202</v>
      </c>
      <c r="E23" s="152"/>
      <c r="F23" s="1"/>
      <c r="G23" s="56" t="s">
        <v>212</v>
      </c>
      <c r="H23" s="56" t="s">
        <v>213</v>
      </c>
      <c r="I23" s="56"/>
      <c r="J23" s="56" t="s">
        <v>214</v>
      </c>
      <c r="K23" s="1"/>
      <c r="L23" s="86" t="s">
        <v>215</v>
      </c>
      <c r="M23" s="87">
        <f>Q13+R13+M21</f>
        <v>0</v>
      </c>
      <c r="N23" s="88"/>
      <c r="O23" s="88"/>
      <c r="P23" s="88"/>
      <c r="Q23" s="88"/>
      <c r="R23" s="88"/>
      <c r="S23" s="1"/>
      <c r="T23" s="1"/>
      <c r="U23" s="57" t="s">
        <v>216</v>
      </c>
      <c r="V23" s="46"/>
      <c r="W23" s="46"/>
      <c r="X23" s="46"/>
      <c r="Y23" s="46"/>
      <c r="Z23" s="1"/>
    </row>
    <row r="24" ht="15.0" customHeight="1">
      <c r="A24" s="1"/>
      <c r="B24" s="58" t="s">
        <v>217</v>
      </c>
      <c r="C24" s="89"/>
      <c r="D24" s="90" t="s">
        <v>218</v>
      </c>
      <c r="E24" s="152"/>
      <c r="F24" s="1"/>
      <c r="G24" s="58" t="s">
        <v>219</v>
      </c>
      <c r="H24" s="91">
        <f>'7月日次売上'!J35</f>
        <v>0</v>
      </c>
      <c r="I24" s="78"/>
      <c r="J24" s="92"/>
      <c r="K24" s="1"/>
      <c r="L24" s="1"/>
      <c r="M24" s="1"/>
      <c r="N24" s="1"/>
      <c r="O24" s="1"/>
      <c r="P24" s="1"/>
      <c r="Q24" s="1"/>
      <c r="R24" s="1"/>
      <c r="S24" s="1"/>
      <c r="T24" s="1"/>
      <c r="U24" s="66" t="s">
        <v>3</v>
      </c>
      <c r="V24" s="67" t="s">
        <v>159</v>
      </c>
      <c r="W24" s="67" t="s">
        <v>160</v>
      </c>
      <c r="X24" s="67" t="s">
        <v>161</v>
      </c>
      <c r="Y24" s="66" t="s">
        <v>162</v>
      </c>
      <c r="Z24" s="1"/>
    </row>
    <row r="25" ht="15.0" customHeight="1">
      <c r="A25" s="1"/>
      <c r="B25" s="58" t="s">
        <v>220</v>
      </c>
      <c r="C25" s="93">
        <f>SUMIFS('freee実績'!$E:$E,'freee実績'!$B:$B,"2026-07",'freee実績'!$C:$C,"消耗品費")</f>
        <v>0</v>
      </c>
      <c r="D25" s="90" t="s">
        <v>218</v>
      </c>
      <c r="E25" s="152"/>
      <c r="F25" s="1"/>
      <c r="G25" s="58" t="s">
        <v>173</v>
      </c>
      <c r="H25" s="65">
        <f>IF(H24=0,0,H20/H24)</f>
        <v>0</v>
      </c>
      <c r="I25" s="78"/>
      <c r="J25" s="94" t="s">
        <v>221</v>
      </c>
      <c r="K25" s="1"/>
      <c r="L25" s="95" t="s">
        <v>222</v>
      </c>
      <c r="M25" s="1"/>
      <c r="N25" s="1"/>
      <c r="O25" s="1"/>
      <c r="P25" s="1"/>
      <c r="Q25" s="1"/>
      <c r="R25" s="1"/>
      <c r="S25" s="1"/>
      <c r="T25" s="1"/>
      <c r="U25" s="6" t="s">
        <v>223</v>
      </c>
      <c r="V25" s="69" t="str">
        <f>'売上計画'!F61</f>
        <v/>
      </c>
      <c r="W25" s="69">
        <f>I39</f>
        <v>-14433.83333</v>
      </c>
      <c r="X25" s="69">
        <f t="shared" ref="X25:X26" si="10">W25-V25</f>
        <v>-14433.83333</v>
      </c>
      <c r="Y25" s="71">
        <f>IF(V25=0,0,W25/V25)</f>
        <v>0</v>
      </c>
      <c r="Z25" s="1"/>
    </row>
    <row r="26" ht="15.0" customHeight="1">
      <c r="A26" s="1"/>
      <c r="B26" s="58" t="s">
        <v>224</v>
      </c>
      <c r="C26" s="93">
        <f>SUMIFS('freee実績'!$E:$E,'freee実績'!$B:$B,"2026-07",'freee実績'!$C:$C,"広告宣伝費")</f>
        <v>0</v>
      </c>
      <c r="D26" s="90" t="s">
        <v>218</v>
      </c>
      <c r="E26" s="152"/>
      <c r="F26" s="1"/>
      <c r="G26" s="58" t="s">
        <v>225</v>
      </c>
      <c r="H26" s="63">
        <v>0.0</v>
      </c>
      <c r="I26" s="78"/>
      <c r="J26" s="92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226</v>
      </c>
      <c r="V26" s="71">
        <f>'売上計画'!F62</f>
        <v>0</v>
      </c>
      <c r="W26" s="71">
        <f>IF(W8=0,0,W25/W8)</f>
        <v>0</v>
      </c>
      <c r="X26" s="71">
        <f t="shared" si="10"/>
        <v>0</v>
      </c>
      <c r="Y26" s="1"/>
      <c r="Z26" s="1"/>
    </row>
    <row r="27" ht="15.0" customHeight="1">
      <c r="A27" s="1"/>
      <c r="B27" s="58" t="s">
        <v>227</v>
      </c>
      <c r="C27" s="93">
        <f>SUMIFS('freee実績'!$E:$E,'freee実績'!$B:$B,"2026-07",'freee実績'!$C:$C,"修繕費")</f>
        <v>0</v>
      </c>
      <c r="D27" s="90" t="s">
        <v>218</v>
      </c>
      <c r="E27" s="152"/>
      <c r="F27" s="1"/>
      <c r="G27" s="58" t="s">
        <v>228</v>
      </c>
      <c r="H27" s="65">
        <f>IF(H26=0,0,H20/H26)</f>
        <v>0</v>
      </c>
      <c r="I27" s="78"/>
      <c r="J27" s="94" t="s">
        <v>229</v>
      </c>
      <c r="K27" s="1"/>
      <c r="L27" s="85" t="s">
        <v>230</v>
      </c>
      <c r="M27" s="46"/>
      <c r="N27" s="46"/>
      <c r="O27" s="46"/>
      <c r="P27" s="46"/>
      <c r="Q27" s="46"/>
      <c r="R27" s="46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8" t="s">
        <v>231</v>
      </c>
      <c r="C28" s="93">
        <f>SUMIFS('freee実績'!$E:$E,'freee実績'!$B:$B,"2026-07",'freee実績'!$C:$C,"雑費")</f>
        <v>0</v>
      </c>
      <c r="D28" s="90" t="s">
        <v>218</v>
      </c>
      <c r="E28" s="152"/>
      <c r="F28" s="1"/>
      <c r="G28" s="58" t="s">
        <v>179</v>
      </c>
      <c r="H28" s="96">
        <f>IF(H20=0,0,C16/H20)</f>
        <v>0</v>
      </c>
      <c r="I28" s="78"/>
      <c r="J28" s="94" t="s">
        <v>232</v>
      </c>
      <c r="K28" s="1"/>
      <c r="L28" s="56" t="s">
        <v>212</v>
      </c>
      <c r="M28" s="56" t="s">
        <v>213</v>
      </c>
      <c r="N28" s="56"/>
      <c r="O28" s="56"/>
      <c r="P28" s="56"/>
      <c r="Q28" s="56"/>
      <c r="R28" s="56" t="s">
        <v>214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97" t="s">
        <v>233</v>
      </c>
      <c r="C29" s="98">
        <f>'固定資産台帳'!O26</f>
        <v>14433.83333</v>
      </c>
      <c r="D29" s="99" t="s">
        <v>234</v>
      </c>
      <c r="E29" s="152"/>
      <c r="F29" s="1"/>
      <c r="G29" s="1"/>
      <c r="H29" s="1"/>
      <c r="I29" s="1"/>
      <c r="J29" s="1"/>
      <c r="K29" s="1"/>
      <c r="L29" s="58" t="s">
        <v>235</v>
      </c>
      <c r="M29" s="96">
        <f>IF(H20=0,0,M23/H20)</f>
        <v>0</v>
      </c>
      <c r="N29" s="78"/>
      <c r="O29" s="78"/>
      <c r="P29" s="78"/>
      <c r="Q29" s="78"/>
      <c r="R29" s="94" t="s">
        <v>236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2" t="s">
        <v>237</v>
      </c>
      <c r="C30" s="73">
        <f>SUM(C20:C29)</f>
        <v>14433.83333</v>
      </c>
      <c r="D30" s="74"/>
      <c r="E30" s="74"/>
      <c r="F30" s="1"/>
      <c r="G30" s="1"/>
      <c r="H30" s="1"/>
      <c r="I30" s="1"/>
      <c r="J30" s="1"/>
      <c r="K30" s="1"/>
      <c r="L30" s="58" t="s">
        <v>238</v>
      </c>
      <c r="M30" s="65">
        <f>IF((SUM(N5:N12)*SUM(O5:O12))=0,0,H20/(SUM(N5:N12)*SUM(O5:O12)))</f>
        <v>0</v>
      </c>
      <c r="N30" s="78"/>
      <c r="O30" s="78"/>
      <c r="P30" s="78"/>
      <c r="Q30" s="78"/>
      <c r="R30" s="94" t="s">
        <v>239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77" t="s">
        <v>240</v>
      </c>
      <c r="C32" s="46"/>
      <c r="D32" s="46"/>
      <c r="E32" s="46"/>
      <c r="F32" s="100"/>
      <c r="G32" s="53" t="s">
        <v>241</v>
      </c>
      <c r="H32" s="46"/>
      <c r="I32" s="46"/>
      <c r="J32" s="46"/>
      <c r="K32" s="1"/>
      <c r="L32" s="101" t="s">
        <v>242</v>
      </c>
      <c r="M32" s="46"/>
      <c r="N32" s="46"/>
      <c r="O32" s="46"/>
      <c r="P32" s="46"/>
      <c r="Q32" s="46"/>
      <c r="R32" s="46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6" t="s">
        <v>146</v>
      </c>
      <c r="C33" s="56" t="s">
        <v>243</v>
      </c>
      <c r="D33" s="56" t="s">
        <v>160</v>
      </c>
      <c r="E33" s="102" t="s">
        <v>244</v>
      </c>
      <c r="F33" s="56" t="s">
        <v>148</v>
      </c>
      <c r="G33" s="56"/>
      <c r="H33" s="56" t="s">
        <v>3</v>
      </c>
      <c r="I33" s="56" t="s">
        <v>133</v>
      </c>
      <c r="J33" s="56"/>
      <c r="K33" s="1"/>
      <c r="L33" s="95" t="s">
        <v>245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67" t="s">
        <v>316</v>
      </c>
      <c r="C34" s="168">
        <v>63900.0</v>
      </c>
      <c r="D34" s="169">
        <v>63900.0</v>
      </c>
      <c r="E34" s="65"/>
      <c r="F34" s="109"/>
      <c r="G34" s="78"/>
      <c r="H34" s="106" t="s">
        <v>246</v>
      </c>
      <c r="I34" s="65">
        <f>H20</f>
        <v>0</v>
      </c>
      <c r="J34" s="78"/>
      <c r="K34" s="1"/>
      <c r="L34" s="107" t="s">
        <v>247</v>
      </c>
      <c r="M34" s="108" t="s">
        <v>248</v>
      </c>
      <c r="N34" s="95" t="s">
        <v>249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57" t="s">
        <v>317</v>
      </c>
      <c r="C35" s="162">
        <v>21890.0</v>
      </c>
      <c r="D35" s="162">
        <v>21890.0</v>
      </c>
      <c r="E35" s="155">
        <f>C35-D35</f>
        <v>0</v>
      </c>
      <c r="F35" s="170" t="s">
        <v>318</v>
      </c>
      <c r="G35" s="78"/>
      <c r="H35" s="106" t="s">
        <v>183</v>
      </c>
      <c r="I35" s="65">
        <f>C16</f>
        <v>0</v>
      </c>
      <c r="J35" s="78"/>
      <c r="K35" s="1"/>
      <c r="L35" s="58" t="s">
        <v>250</v>
      </c>
      <c r="M35" s="52">
        <f>M23</f>
        <v>0</v>
      </c>
      <c r="N35" s="110" t="s">
        <v>251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71" t="s">
        <v>319</v>
      </c>
      <c r="C36" s="154"/>
      <c r="D36" s="162">
        <v>15000.0</v>
      </c>
      <c r="E36" s="155"/>
      <c r="F36" s="170" t="s">
        <v>318</v>
      </c>
      <c r="G36" s="78"/>
      <c r="H36" s="106" t="s">
        <v>185</v>
      </c>
      <c r="I36" s="65">
        <f>I34-I35</f>
        <v>0</v>
      </c>
      <c r="J36" s="78"/>
      <c r="K36" s="1"/>
      <c r="L36" s="58" t="s">
        <v>252</v>
      </c>
      <c r="M36" s="65">
        <f>IF(M34="支払い",M35,0)</f>
        <v>0</v>
      </c>
      <c r="N36" s="95" t="s">
        <v>253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53"/>
      <c r="C37" s="164"/>
      <c r="D37" s="154"/>
      <c r="E37" s="155"/>
      <c r="F37" s="165"/>
      <c r="G37" s="78"/>
      <c r="H37" s="106" t="s">
        <v>254</v>
      </c>
      <c r="I37" s="96">
        <f>IF(I34=0,0,I36/I34)</f>
        <v>0</v>
      </c>
      <c r="J37" s="78"/>
      <c r="K37" s="1"/>
      <c r="L37" s="111" t="s">
        <v>255</v>
      </c>
      <c r="M37" s="112">
        <f>M35-M36</f>
        <v>0</v>
      </c>
      <c r="N37" s="95" t="s">
        <v>256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57"/>
      <c r="C38" s="164"/>
      <c r="D38" s="154"/>
      <c r="E38" s="155"/>
      <c r="F38" s="156"/>
      <c r="G38" s="78"/>
      <c r="H38" s="106" t="s">
        <v>208</v>
      </c>
      <c r="I38" s="65">
        <f>C30</f>
        <v>14433.83333</v>
      </c>
      <c r="J38" s="78"/>
      <c r="K38" s="1"/>
      <c r="L38" s="58" t="s">
        <v>257</v>
      </c>
      <c r="M38" s="52">
        <f>'6月'!M39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53"/>
      <c r="C39" s="164"/>
      <c r="D39" s="154"/>
      <c r="E39" s="155"/>
      <c r="F39" s="156"/>
      <c r="G39" s="78"/>
      <c r="H39" s="113" t="s">
        <v>223</v>
      </c>
      <c r="I39" s="114">
        <f>I36-I38</f>
        <v>-14433.83333</v>
      </c>
      <c r="J39" s="115"/>
      <c r="K39" s="1"/>
      <c r="L39" s="116" t="s">
        <v>258</v>
      </c>
      <c r="M39" s="117">
        <f>M38+M37</f>
        <v>0</v>
      </c>
      <c r="N39" s="95" t="s">
        <v>259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57"/>
      <c r="C40" s="164"/>
      <c r="D40" s="154"/>
      <c r="E40" s="155"/>
      <c r="F40" s="165"/>
      <c r="G40" s="118"/>
      <c r="H40" s="118"/>
      <c r="I40" s="118"/>
      <c r="J40" s="1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53" t="s">
        <v>320</v>
      </c>
      <c r="C41" s="164"/>
      <c r="D41" s="154">
        <v>45628.0</v>
      </c>
      <c r="E41" s="155">
        <f t="shared" ref="E41:E42" si="11">C41-D41</f>
        <v>-45628</v>
      </c>
      <c r="F41" s="156" t="s">
        <v>321</v>
      </c>
      <c r="G41" s="118"/>
      <c r="H41" s="118"/>
      <c r="I41" s="118"/>
      <c r="J41" s="118"/>
      <c r="K41" s="1"/>
      <c r="L41" s="58" t="s">
        <v>260</v>
      </c>
      <c r="M41" s="59"/>
      <c r="N41" s="95" t="s">
        <v>261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72" t="s">
        <v>322</v>
      </c>
      <c r="C42" s="164"/>
      <c r="D42" s="154">
        <v>50000.0</v>
      </c>
      <c r="E42" s="155">
        <f t="shared" si="11"/>
        <v>-50000</v>
      </c>
      <c r="F42" s="165" t="s">
        <v>323</v>
      </c>
      <c r="G42" s="118"/>
      <c r="H42" s="118"/>
      <c r="I42" s="118"/>
      <c r="J42" s="1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153"/>
      <c r="C43" s="163"/>
      <c r="D43" s="154"/>
      <c r="E43" s="155"/>
      <c r="F43" s="165"/>
      <c r="G43" s="118"/>
      <c r="H43" s="118"/>
      <c r="I43" s="118"/>
      <c r="J43" s="1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57"/>
      <c r="C44" s="164"/>
      <c r="D44" s="159"/>
      <c r="E44" s="155"/>
      <c r="F44" s="156"/>
      <c r="G44" s="118"/>
      <c r="H44" s="118"/>
      <c r="I44" s="118"/>
      <c r="J44" s="1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153"/>
      <c r="C45" s="163"/>
      <c r="D45" s="154"/>
      <c r="E45" s="155"/>
      <c r="F45" s="165"/>
      <c r="G45" s="118"/>
      <c r="H45" s="118"/>
      <c r="I45" s="118"/>
      <c r="J45" s="1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57" t="s">
        <v>324</v>
      </c>
      <c r="C46" s="163"/>
      <c r="D46" s="154">
        <v>204500.0</v>
      </c>
      <c r="E46" s="155">
        <f>C46-D46</f>
        <v>-204500</v>
      </c>
      <c r="F46" s="78"/>
      <c r="G46" s="118"/>
      <c r="H46" s="118"/>
      <c r="I46" s="118"/>
      <c r="J46" s="1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53"/>
      <c r="C47" s="163"/>
      <c r="D47" s="154"/>
      <c r="E47" s="155"/>
      <c r="F47" s="78"/>
      <c r="G47" s="118"/>
      <c r="H47" s="118"/>
      <c r="I47" s="118"/>
      <c r="J47" s="1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57"/>
      <c r="C48" s="163"/>
      <c r="D48" s="154"/>
      <c r="E48" s="155"/>
      <c r="F48" s="156"/>
      <c r="G48" s="118"/>
      <c r="H48" s="118"/>
      <c r="I48" s="118"/>
      <c r="J48" s="1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53" t="s">
        <v>325</v>
      </c>
      <c r="C49" s="163"/>
      <c r="D49" s="154">
        <v>5000.0</v>
      </c>
      <c r="E49" s="164"/>
      <c r="F49" s="78"/>
      <c r="G49" s="118"/>
      <c r="H49" s="118"/>
      <c r="I49" s="118"/>
      <c r="J49" s="1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57" t="s">
        <v>326</v>
      </c>
      <c r="C50" s="163"/>
      <c r="D50" s="154">
        <v>50000.0</v>
      </c>
      <c r="E50" s="155">
        <f t="shared" ref="E50:E54" si="12">C50-D50</f>
        <v>-50000</v>
      </c>
      <c r="F50" s="165" t="s">
        <v>327</v>
      </c>
      <c r="G50" s="118"/>
      <c r="H50" s="118"/>
      <c r="I50" s="118"/>
      <c r="J50" s="1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8"/>
      <c r="C51" s="76"/>
      <c r="D51" s="59"/>
      <c r="E51" s="65">
        <f t="shared" si="12"/>
        <v>0</v>
      </c>
      <c r="F51" s="109"/>
      <c r="G51" s="118"/>
      <c r="H51" s="118"/>
      <c r="I51" s="118"/>
      <c r="J51" s="1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3"/>
      <c r="C52" s="76"/>
      <c r="D52" s="59"/>
      <c r="E52" s="65">
        <f t="shared" si="12"/>
        <v>0</v>
      </c>
      <c r="F52" s="109"/>
      <c r="G52" s="118"/>
      <c r="H52" s="118"/>
      <c r="I52" s="118"/>
      <c r="J52" s="1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0"/>
      <c r="C53" s="76"/>
      <c r="D53" s="59"/>
      <c r="E53" s="65">
        <f t="shared" si="12"/>
        <v>0</v>
      </c>
      <c r="F53" s="109"/>
      <c r="G53" s="118"/>
      <c r="H53" s="118"/>
      <c r="I53" s="118"/>
      <c r="J53" s="1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2" t="s">
        <v>262</v>
      </c>
      <c r="C54" s="73">
        <f t="shared" ref="C54:D54" si="13">SUM(C34:C53)</f>
        <v>85790</v>
      </c>
      <c r="D54" s="73">
        <f t="shared" si="13"/>
        <v>455918</v>
      </c>
      <c r="E54" s="73">
        <f t="shared" si="12"/>
        <v>-370128</v>
      </c>
      <c r="F54" s="74"/>
      <c r="G54" s="118"/>
      <c r="H54" s="119"/>
      <c r="I54" s="120"/>
      <c r="J54" s="1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18"/>
      <c r="H55" s="119"/>
      <c r="I55" s="121"/>
      <c r="J55" s="1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2" t="s">
        <v>263</v>
      </c>
      <c r="C56" s="123">
        <f>C16+C30+D54</f>
        <v>470351.8333</v>
      </c>
      <c r="D56" s="124"/>
      <c r="E56" s="124"/>
      <c r="F56" s="1"/>
      <c r="G56" s="118"/>
      <c r="H56" s="119"/>
      <c r="I56" s="121"/>
      <c r="J56" s="1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18"/>
      <c r="H57" s="118"/>
      <c r="I57" s="118"/>
      <c r="J57" s="1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5" t="s">
        <v>264</v>
      </c>
      <c r="H58" s="46"/>
      <c r="I58" s="46"/>
      <c r="J58" s="4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6"/>
      <c r="H59" s="56" t="s">
        <v>3</v>
      </c>
      <c r="I59" s="56" t="s">
        <v>133</v>
      </c>
      <c r="J59" s="5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6"/>
      <c r="H60" s="127" t="s">
        <v>223</v>
      </c>
      <c r="I60" s="128">
        <f>I39</f>
        <v>-14433.83333</v>
      </c>
      <c r="J60" s="12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6"/>
      <c r="H61" s="127" t="s">
        <v>265</v>
      </c>
      <c r="I61" s="130">
        <f>C29</f>
        <v>14433.83333</v>
      </c>
      <c r="J61" s="131" t="s">
        <v>266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2"/>
      <c r="H62" s="72" t="s">
        <v>267</v>
      </c>
      <c r="I62" s="73">
        <f>I60+I61+M37-M41</f>
        <v>0</v>
      </c>
      <c r="J62" s="133" t="s">
        <v>268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18"/>
      <c r="H63" s="118"/>
      <c r="I63" s="118"/>
      <c r="J63" s="1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6"/>
      <c r="H64" s="127" t="s">
        <v>269</v>
      </c>
      <c r="I64" s="130">
        <f>D54</f>
        <v>455918</v>
      </c>
      <c r="J64" s="131" t="s">
        <v>270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2"/>
      <c r="H65" s="72" t="s">
        <v>271</v>
      </c>
      <c r="I65" s="73">
        <f>-I64</f>
        <v>-455918</v>
      </c>
      <c r="J65" s="133" t="s">
        <v>272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18"/>
      <c r="H66" s="118"/>
      <c r="I66" s="118"/>
      <c r="J66" s="1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6"/>
      <c r="H67" s="127" t="s">
        <v>273</v>
      </c>
      <c r="I67" s="130">
        <f>C6</f>
        <v>3500000</v>
      </c>
      <c r="J67" s="12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2"/>
      <c r="H68" s="72" t="s">
        <v>274</v>
      </c>
      <c r="I68" s="73">
        <f>I67</f>
        <v>3500000</v>
      </c>
      <c r="J68" s="1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18"/>
      <c r="H69" s="118"/>
      <c r="I69" s="118"/>
      <c r="J69" s="1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3" t="s">
        <v>275</v>
      </c>
      <c r="H70" s="46"/>
      <c r="I70" s="46"/>
      <c r="J70" s="4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4"/>
      <c r="H71" s="58" t="s">
        <v>276</v>
      </c>
      <c r="I71" s="89">
        <f>C5</f>
        <v>939612</v>
      </c>
      <c r="J71" s="13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4"/>
      <c r="H72" s="58" t="s">
        <v>277</v>
      </c>
      <c r="I72" s="104">
        <f>I62</f>
        <v>0</v>
      </c>
      <c r="J72" s="13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4"/>
      <c r="H73" s="58" t="s">
        <v>278</v>
      </c>
      <c r="I73" s="104">
        <f>I65</f>
        <v>-455918</v>
      </c>
      <c r="J73" s="1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4"/>
      <c r="H74" s="58" t="s">
        <v>279</v>
      </c>
      <c r="I74" s="104">
        <f>I68</f>
        <v>3500000</v>
      </c>
      <c r="J74" s="1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6"/>
      <c r="H75" s="137" t="s">
        <v>280</v>
      </c>
      <c r="I75" s="138">
        <f>I71+I72+I73+I74</f>
        <v>3983694</v>
      </c>
      <c r="J75" s="139" t="s">
        <v>281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18"/>
      <c r="H76" s="118"/>
      <c r="I76" s="118"/>
      <c r="J76" s="1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18"/>
      <c r="H77" s="95" t="s">
        <v>282</v>
      </c>
      <c r="I77" s="118"/>
      <c r="J77" s="1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4"/>
      <c r="H78" s="140" t="s">
        <v>283</v>
      </c>
      <c r="I78" s="141">
        <f>I39</f>
        <v>-14433.83333</v>
      </c>
      <c r="J78" s="1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4"/>
      <c r="H79" s="140" t="s">
        <v>284</v>
      </c>
      <c r="I79" s="141">
        <f>I72+I73+I74</f>
        <v>3044082</v>
      </c>
      <c r="J79" s="1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2"/>
      <c r="H80" s="143" t="s">
        <v>285</v>
      </c>
      <c r="I80" s="144">
        <f>I79-I78</f>
        <v>3058515.833</v>
      </c>
      <c r="J80" s="143" t="s">
        <v>286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18"/>
      <c r="H81" s="118"/>
      <c r="I81" s="118"/>
      <c r="J81" s="1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6"/>
      <c r="H82" s="145" t="s">
        <v>287</v>
      </c>
      <c r="I82" s="146">
        <f>I75</f>
        <v>3983694</v>
      </c>
      <c r="J82" s="147" t="s">
        <v>288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48"/>
      <c r="H83" s="149" t="s">
        <v>289</v>
      </c>
      <c r="I83" s="150">
        <f>I75-M37</f>
        <v>3983694</v>
      </c>
      <c r="J83" s="151" t="s">
        <v>290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18"/>
      <c r="H84" s="118"/>
      <c r="I84" s="118"/>
      <c r="J84" s="1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3" width="14.29"/>
    <col customWidth="1" min="14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4" t="s">
        <v>328</v>
      </c>
      <c r="K1" s="1"/>
      <c r="L1" s="1"/>
      <c r="M1" s="1"/>
      <c r="N1" s="1"/>
      <c r="O1" s="1"/>
      <c r="P1" s="1"/>
      <c r="Q1" s="1"/>
      <c r="R1" s="1"/>
      <c r="S1" s="1"/>
      <c r="T1" s="1"/>
      <c r="U1" s="45" t="s">
        <v>137</v>
      </c>
      <c r="V1" s="46"/>
      <c r="W1" s="46"/>
      <c r="X1" s="46"/>
      <c r="Y1" s="46"/>
      <c r="Z1" s="1"/>
    </row>
    <row r="2" ht="21.0" customHeight="1">
      <c r="A2" s="1"/>
      <c r="B2" s="47" t="s">
        <v>138</v>
      </c>
      <c r="C2" s="48">
        <f>I75</f>
        <v>956398.6</v>
      </c>
      <c r="D2" s="1"/>
      <c r="E2" s="49" t="s">
        <v>139</v>
      </c>
      <c r="F2" s="50">
        <f>C16+SUM(C20:C23)+SUM(C25:C28)+M36+D54+M41</f>
        <v>2800000</v>
      </c>
      <c r="G2" s="1"/>
      <c r="H2" s="49" t="s">
        <v>140</v>
      </c>
      <c r="I2" s="51">
        <f>I39</f>
        <v>-241729.2333</v>
      </c>
      <c r="J2" s="1"/>
      <c r="K2" s="1"/>
      <c r="L2" s="47" t="s">
        <v>141</v>
      </c>
      <c r="M2" s="52">
        <f>'9月'!C20+'9月'!C21+'9月'!C22+'9月'!C23+'9月'!C25</f>
        <v>0</v>
      </c>
      <c r="N2" s="1"/>
      <c r="O2" s="1"/>
      <c r="P2" s="1"/>
      <c r="Q2" s="1"/>
      <c r="R2" s="1"/>
      <c r="S2" s="1"/>
      <c r="T2" s="1"/>
      <c r="U2" s="3" t="s">
        <v>142</v>
      </c>
      <c r="Z2" s="1"/>
    </row>
    <row r="3" ht="15.0" customHeight="1">
      <c r="A3" s="1"/>
      <c r="B3" s="53" t="s">
        <v>143</v>
      </c>
      <c r="C3" s="46"/>
      <c r="D3" s="46"/>
      <c r="E3" s="46"/>
      <c r="F3" s="1"/>
      <c r="G3" s="54" t="s">
        <v>144</v>
      </c>
      <c r="H3" s="46"/>
      <c r="I3" s="46"/>
      <c r="J3" s="46"/>
      <c r="K3" s="1"/>
      <c r="L3" s="55" t="s">
        <v>145</v>
      </c>
      <c r="M3" s="46"/>
      <c r="N3" s="46"/>
      <c r="O3" s="46"/>
      <c r="P3" s="46"/>
      <c r="Q3" s="46"/>
      <c r="R3" s="46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6" t="s">
        <v>146</v>
      </c>
      <c r="C4" s="56" t="s">
        <v>133</v>
      </c>
      <c r="D4" s="56" t="s">
        <v>147</v>
      </c>
      <c r="E4" s="56" t="s">
        <v>148</v>
      </c>
      <c r="F4" s="1"/>
      <c r="G4" s="56" t="s">
        <v>70</v>
      </c>
      <c r="H4" s="56" t="s">
        <v>133</v>
      </c>
      <c r="I4" s="56" t="s">
        <v>147</v>
      </c>
      <c r="J4" s="56" t="s">
        <v>148</v>
      </c>
      <c r="K4" s="1"/>
      <c r="L4" s="56" t="s">
        <v>149</v>
      </c>
      <c r="M4" s="56" t="s">
        <v>150</v>
      </c>
      <c r="N4" s="56" t="s">
        <v>151</v>
      </c>
      <c r="O4" s="56" t="s">
        <v>152</v>
      </c>
      <c r="P4" s="56" t="s">
        <v>153</v>
      </c>
      <c r="Q4" s="56" t="s">
        <v>154</v>
      </c>
      <c r="R4" s="56" t="s">
        <v>155</v>
      </c>
      <c r="S4" s="1"/>
      <c r="T4" s="1"/>
      <c r="U4" s="57" t="s">
        <v>156</v>
      </c>
      <c r="V4" s="46"/>
      <c r="W4" s="46"/>
      <c r="X4" s="46"/>
      <c r="Y4" s="46"/>
      <c r="Z4" s="1"/>
    </row>
    <row r="5" ht="15.0" customHeight="1">
      <c r="A5" s="1"/>
      <c r="B5" s="58" t="s">
        <v>292</v>
      </c>
      <c r="C5" s="52">
        <f>'7月'!I75</f>
        <v>3983694</v>
      </c>
      <c r="D5" s="60"/>
      <c r="E5" s="152"/>
      <c r="F5" s="1"/>
      <c r="G5" s="58" t="s">
        <v>158</v>
      </c>
      <c r="H5" s="52">
        <f>'8月日次売上'!C35</f>
        <v>0</v>
      </c>
      <c r="I5" s="60"/>
      <c r="J5" s="152"/>
      <c r="K5" s="1"/>
      <c r="L5" s="60"/>
      <c r="M5" s="59"/>
      <c r="N5" s="63"/>
      <c r="O5" s="64"/>
      <c r="P5" s="59"/>
      <c r="Q5" s="65">
        <f t="shared" ref="Q5:Q12" si="1">M5*N5*O5</f>
        <v>0</v>
      </c>
      <c r="R5" s="65">
        <f t="shared" ref="R5:R12" si="2">P5*N5</f>
        <v>0</v>
      </c>
      <c r="S5" s="1"/>
      <c r="T5" s="1"/>
      <c r="U5" s="66" t="s">
        <v>3</v>
      </c>
      <c r="V5" s="67" t="s">
        <v>159</v>
      </c>
      <c r="W5" s="67" t="s">
        <v>160</v>
      </c>
      <c r="X5" s="67" t="s">
        <v>161</v>
      </c>
      <c r="Y5" s="66" t="s">
        <v>162</v>
      </c>
      <c r="Z5" s="1"/>
    </row>
    <row r="6" ht="15.0" customHeight="1">
      <c r="A6" s="1"/>
      <c r="B6" s="58" t="s">
        <v>329</v>
      </c>
      <c r="C6" s="59"/>
      <c r="D6" s="68"/>
      <c r="E6" s="61" t="s">
        <v>330</v>
      </c>
      <c r="F6" s="1"/>
      <c r="G6" s="58" t="s">
        <v>164</v>
      </c>
      <c r="H6" s="52">
        <f>'8月日次売上'!D35</f>
        <v>0</v>
      </c>
      <c r="I6" s="60"/>
      <c r="J6" s="152"/>
      <c r="K6" s="1"/>
      <c r="L6" s="60"/>
      <c r="M6" s="59"/>
      <c r="N6" s="63"/>
      <c r="O6" s="64"/>
      <c r="P6" s="59"/>
      <c r="Q6" s="65">
        <f t="shared" si="1"/>
        <v>0</v>
      </c>
      <c r="R6" s="65">
        <f t="shared" si="2"/>
        <v>0</v>
      </c>
      <c r="S6" s="1"/>
      <c r="T6" s="1"/>
      <c r="U6" s="6" t="s">
        <v>165</v>
      </c>
      <c r="V6" s="69">
        <f>'売上計画'!G38</f>
        <v>10</v>
      </c>
      <c r="W6" s="70">
        <f>IF(H26=0,"",H24/H26/2)</f>
        <v>0</v>
      </c>
      <c r="X6" s="69">
        <f t="shared" ref="X6:X7" si="3">IF(W6="",0,W6-V6)</f>
        <v>-10</v>
      </c>
      <c r="Y6" s="71">
        <f t="shared" ref="Y6:Y7" si="4">IF(OR(W6="",V6=0),0,W6/V6)</f>
        <v>0</v>
      </c>
      <c r="Z6" s="1"/>
    </row>
    <row r="7" ht="15.0" customHeight="1">
      <c r="A7" s="1"/>
      <c r="B7" s="72" t="s">
        <v>166</v>
      </c>
      <c r="C7" s="73">
        <f>SUM(C5:C6)</f>
        <v>3983694</v>
      </c>
      <c r="D7" s="74"/>
      <c r="E7" s="74"/>
      <c r="F7" s="1"/>
      <c r="G7" s="58" t="s">
        <v>167</v>
      </c>
      <c r="H7" s="52">
        <f>'8月日次売上'!E35</f>
        <v>0</v>
      </c>
      <c r="I7" s="60"/>
      <c r="J7" s="152"/>
      <c r="K7" s="1"/>
      <c r="L7" s="60"/>
      <c r="M7" s="59"/>
      <c r="N7" s="63"/>
      <c r="O7" s="64"/>
      <c r="P7" s="59"/>
      <c r="Q7" s="65">
        <f t="shared" si="1"/>
        <v>0</v>
      </c>
      <c r="R7" s="65">
        <f t="shared" si="2"/>
        <v>0</v>
      </c>
      <c r="S7" s="1"/>
      <c r="T7" s="1"/>
      <c r="U7" s="6" t="s">
        <v>168</v>
      </c>
      <c r="V7" s="69">
        <f>'売上計画'!G39</f>
        <v>7</v>
      </c>
      <c r="W7" s="70">
        <f>IF(H26=0,"",H24/H26/2)</f>
        <v>0</v>
      </c>
      <c r="X7" s="69">
        <f t="shared" si="3"/>
        <v>-7</v>
      </c>
      <c r="Y7" s="71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58" t="s">
        <v>169</v>
      </c>
      <c r="H8" s="52">
        <f>'8月日次売上'!F35</f>
        <v>0</v>
      </c>
      <c r="I8" s="60"/>
      <c r="J8" s="152"/>
      <c r="K8" s="1"/>
      <c r="L8" s="60"/>
      <c r="M8" s="59"/>
      <c r="N8" s="63"/>
      <c r="O8" s="64"/>
      <c r="P8" s="59"/>
      <c r="Q8" s="65">
        <f t="shared" si="1"/>
        <v>0</v>
      </c>
      <c r="R8" s="65">
        <f t="shared" si="2"/>
        <v>0</v>
      </c>
      <c r="S8" s="1"/>
      <c r="T8" s="1"/>
      <c r="U8" s="6" t="s">
        <v>170</v>
      </c>
      <c r="V8" s="69">
        <f>'売上計画'!G45</f>
        <v>654100</v>
      </c>
      <c r="W8" s="69">
        <f>H20</f>
        <v>0</v>
      </c>
      <c r="X8" s="69">
        <f t="shared" ref="X8:X9" si="5">W8-V8</f>
        <v>-654100</v>
      </c>
      <c r="Y8" s="71">
        <f t="shared" ref="Y8:Y9" si="6">IF(V8=0,0,W8/V8)</f>
        <v>0</v>
      </c>
      <c r="Z8" s="1"/>
    </row>
    <row r="9" ht="15.0" customHeight="1">
      <c r="A9" s="1"/>
      <c r="B9" s="75" t="s">
        <v>171</v>
      </c>
      <c r="C9" s="46"/>
      <c r="D9" s="46"/>
      <c r="E9" s="46"/>
      <c r="F9" s="1"/>
      <c r="G9" s="58" t="s">
        <v>172</v>
      </c>
      <c r="H9" s="52">
        <f>'8月日次売上'!G35</f>
        <v>0</v>
      </c>
      <c r="I9" s="60"/>
      <c r="J9" s="152"/>
      <c r="K9" s="1"/>
      <c r="L9" s="60"/>
      <c r="M9" s="59"/>
      <c r="N9" s="63"/>
      <c r="O9" s="64"/>
      <c r="P9" s="59"/>
      <c r="Q9" s="65">
        <f t="shared" si="1"/>
        <v>0</v>
      </c>
      <c r="R9" s="65">
        <f t="shared" si="2"/>
        <v>0</v>
      </c>
      <c r="S9" s="1"/>
      <c r="T9" s="1"/>
      <c r="U9" s="6" t="s">
        <v>173</v>
      </c>
      <c r="V9" s="69">
        <f>IF((V6*'売上計画'!$C$7+V7*'売上計画'!$C$8)=0,0,V8/(V6*'売上計画'!$C$7+V7*'売上計画'!$C$8))</f>
        <v>1282.54902</v>
      </c>
      <c r="W9" s="69">
        <f>H25</f>
        <v>0</v>
      </c>
      <c r="X9" s="69">
        <f t="shared" si="5"/>
        <v>-1282.54902</v>
      </c>
      <c r="Y9" s="71">
        <f t="shared" si="6"/>
        <v>0</v>
      </c>
      <c r="Z9" s="1"/>
    </row>
    <row r="10" ht="15.0" customHeight="1">
      <c r="A10" s="1"/>
      <c r="B10" s="56" t="s">
        <v>146</v>
      </c>
      <c r="C10" s="56" t="s">
        <v>133</v>
      </c>
      <c r="D10" s="56" t="s">
        <v>147</v>
      </c>
      <c r="E10" s="56" t="s">
        <v>148</v>
      </c>
      <c r="F10" s="1"/>
      <c r="G10" s="58" t="s">
        <v>174</v>
      </c>
      <c r="H10" s="52">
        <f>'8月日次売上'!H35</f>
        <v>0</v>
      </c>
      <c r="I10" s="60"/>
      <c r="J10" s="152"/>
      <c r="K10" s="1"/>
      <c r="L10" s="60"/>
      <c r="M10" s="59"/>
      <c r="N10" s="63"/>
      <c r="O10" s="64"/>
      <c r="P10" s="59"/>
      <c r="Q10" s="65">
        <f t="shared" si="1"/>
        <v>0</v>
      </c>
      <c r="R10" s="65">
        <f t="shared" si="2"/>
        <v>0</v>
      </c>
      <c r="S10" s="1"/>
      <c r="T10" s="1"/>
      <c r="U10" s="1"/>
      <c r="V10" s="70"/>
      <c r="W10" s="70"/>
      <c r="X10" s="70"/>
      <c r="Y10" s="1"/>
      <c r="Z10" s="1"/>
    </row>
    <row r="11" ht="15.0" customHeight="1">
      <c r="A11" s="1"/>
      <c r="B11" s="58" t="s">
        <v>175</v>
      </c>
      <c r="C11" s="76">
        <f>SUMIFS('freee実績'!$E:$E,'freee実績'!$B:$B,"2026-08",'freee実績'!$C:$C,"仕入高",'freee実績'!$D:$D,"コーヒー豆・茶葉")</f>
        <v>0</v>
      </c>
      <c r="D11" s="60"/>
      <c r="E11" s="152"/>
      <c r="F11" s="1"/>
      <c r="G11" s="72" t="s">
        <v>176</v>
      </c>
      <c r="H11" s="73">
        <f>SUM(H5:H10)</f>
        <v>0</v>
      </c>
      <c r="I11" s="74"/>
      <c r="J11" s="74"/>
      <c r="K11" s="1"/>
      <c r="L11" s="60"/>
      <c r="M11" s="59"/>
      <c r="N11" s="63"/>
      <c r="O11" s="64"/>
      <c r="P11" s="59"/>
      <c r="Q11" s="65">
        <f t="shared" si="1"/>
        <v>0</v>
      </c>
      <c r="R11" s="65">
        <f t="shared" si="2"/>
        <v>0</v>
      </c>
      <c r="S11" s="1"/>
      <c r="T11" s="1"/>
      <c r="U11" s="57" t="s">
        <v>177</v>
      </c>
      <c r="V11" s="46"/>
      <c r="W11" s="46"/>
      <c r="X11" s="46"/>
      <c r="Y11" s="46"/>
      <c r="Z11" s="1"/>
    </row>
    <row r="12" ht="15.0" customHeight="1">
      <c r="A12" s="1"/>
      <c r="B12" s="58" t="s">
        <v>178</v>
      </c>
      <c r="C12" s="76">
        <f>SUMIFS('freee実績'!$E:$E,'freee実績'!$B:$B,"2026-08",'freee実績'!$C:$C,"仕入高",'freee実績'!$D:$D,"牛乳・シロップ等")</f>
        <v>0</v>
      </c>
      <c r="D12" s="60"/>
      <c r="E12" s="152"/>
      <c r="F12" s="1"/>
      <c r="G12" s="1"/>
      <c r="H12" s="1"/>
      <c r="I12" s="1"/>
      <c r="J12" s="1"/>
      <c r="K12" s="1"/>
      <c r="L12" s="60"/>
      <c r="M12" s="59"/>
      <c r="N12" s="63"/>
      <c r="O12" s="64"/>
      <c r="P12" s="59"/>
      <c r="Q12" s="65">
        <f t="shared" si="1"/>
        <v>0</v>
      </c>
      <c r="R12" s="65">
        <f t="shared" si="2"/>
        <v>0</v>
      </c>
      <c r="S12" s="1"/>
      <c r="T12" s="1"/>
      <c r="U12" s="66" t="s">
        <v>3</v>
      </c>
      <c r="V12" s="67" t="s">
        <v>159</v>
      </c>
      <c r="W12" s="67" t="s">
        <v>160</v>
      </c>
      <c r="X12" s="67" t="s">
        <v>161</v>
      </c>
      <c r="Y12" s="66" t="s">
        <v>179</v>
      </c>
      <c r="Z12" s="1"/>
    </row>
    <row r="13" ht="15.0" customHeight="1">
      <c r="A13" s="1"/>
      <c r="B13" s="58" t="s">
        <v>180</v>
      </c>
      <c r="C13" s="76">
        <f>SUMIFS('freee実績'!$E:$E,'freee実績'!$B:$B,"2026-08",'freee実績'!$C:$C,"仕入高",'freee実績'!$D:$D,"フード材料費")</f>
        <v>0</v>
      </c>
      <c r="D13" s="60"/>
      <c r="E13" s="152"/>
      <c r="F13" s="1"/>
      <c r="G13" s="54" t="s">
        <v>181</v>
      </c>
      <c r="H13" s="46"/>
      <c r="I13" s="46"/>
      <c r="J13" s="46"/>
      <c r="K13" s="1"/>
      <c r="L13" s="72" t="s">
        <v>182</v>
      </c>
      <c r="M13" s="74"/>
      <c r="N13" s="74"/>
      <c r="O13" s="74"/>
      <c r="P13" s="74"/>
      <c r="Q13" s="73">
        <f t="shared" ref="Q13:R13" si="7">SUM(Q5:Q12)</f>
        <v>0</v>
      </c>
      <c r="R13" s="73">
        <f t="shared" si="7"/>
        <v>0</v>
      </c>
      <c r="S13" s="1"/>
      <c r="T13" s="1"/>
      <c r="U13" s="6" t="s">
        <v>183</v>
      </c>
      <c r="V13" s="69">
        <f>'売上計画'!G46</f>
        <v>196230</v>
      </c>
      <c r="W13" s="69">
        <f>C16</f>
        <v>0</v>
      </c>
      <c r="X13" s="69">
        <f t="shared" ref="X13:X14" si="8">W13-V13</f>
        <v>-196230</v>
      </c>
      <c r="Y13" s="71">
        <f>IF(W8=0,0,W13/W8)</f>
        <v>0</v>
      </c>
      <c r="Z13" s="1"/>
    </row>
    <row r="14" ht="15.0" customHeight="1">
      <c r="A14" s="1"/>
      <c r="B14" s="58" t="s">
        <v>184</v>
      </c>
      <c r="C14" s="76">
        <f>SUMIFS('freee実績'!$E:$E,'freee実績'!$B:$B,"2026-08",'freee実績'!$C:$C,"仕入高",'freee実績'!$D:$D,"包装資材・消耗品")</f>
        <v>0</v>
      </c>
      <c r="D14" s="60"/>
      <c r="E14" s="152"/>
      <c r="F14" s="1"/>
      <c r="G14" s="56" t="s">
        <v>70</v>
      </c>
      <c r="H14" s="56" t="s">
        <v>133</v>
      </c>
      <c r="I14" s="56" t="s">
        <v>147</v>
      </c>
      <c r="J14" s="56" t="s">
        <v>148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185</v>
      </c>
      <c r="V14" s="69">
        <f>'売上計画'!G47</f>
        <v>457870</v>
      </c>
      <c r="W14" s="69">
        <f>H20-C16</f>
        <v>0</v>
      </c>
      <c r="X14" s="69">
        <f t="shared" si="8"/>
        <v>-457870</v>
      </c>
      <c r="Y14" s="71">
        <f>IF(W8=0,0,W14/W8)</f>
        <v>0</v>
      </c>
      <c r="Z14" s="1"/>
    </row>
    <row r="15" ht="15.0" customHeight="1">
      <c r="A15" s="1"/>
      <c r="B15" s="58" t="s">
        <v>186</v>
      </c>
      <c r="C15" s="76">
        <f>SUMIFS('freee実績'!$E:$E,'freee実績'!$B:$B,"2026-08",'freee実績'!$C:$C,"仕入高",'freee実績'!$D:$D,"その他原価")</f>
        <v>0</v>
      </c>
      <c r="D15" s="60"/>
      <c r="E15" s="152"/>
      <c r="F15" s="1"/>
      <c r="G15" s="58" t="s">
        <v>187</v>
      </c>
      <c r="H15" s="52">
        <f>'8月日次売上'!I35</f>
        <v>0</v>
      </c>
      <c r="I15" s="60"/>
      <c r="J15" s="152"/>
      <c r="K15" s="1"/>
      <c r="L15" s="77" t="s">
        <v>188</v>
      </c>
      <c r="M15" s="46"/>
      <c r="N15" s="46"/>
      <c r="O15" s="46"/>
      <c r="P15" s="46"/>
      <c r="Q15" s="46"/>
      <c r="R15" s="46"/>
      <c r="S15" s="1"/>
      <c r="T15" s="1"/>
      <c r="U15" s="1"/>
      <c r="V15" s="70"/>
      <c r="W15" s="70"/>
      <c r="X15" s="70"/>
      <c r="Y15" s="1"/>
      <c r="Z15" s="1"/>
    </row>
    <row r="16" ht="15.0" customHeight="1">
      <c r="A16" s="1"/>
      <c r="B16" s="72" t="s">
        <v>189</v>
      </c>
      <c r="C16" s="73">
        <f>SUM(C11:C15)</f>
        <v>0</v>
      </c>
      <c r="D16" s="74"/>
      <c r="E16" s="74"/>
      <c r="F16" s="1"/>
      <c r="G16" s="58" t="s">
        <v>190</v>
      </c>
      <c r="H16" s="76"/>
      <c r="I16" s="60"/>
      <c r="J16" s="152"/>
      <c r="K16" s="1"/>
      <c r="L16" s="56" t="s">
        <v>3</v>
      </c>
      <c r="M16" s="56" t="s">
        <v>191</v>
      </c>
      <c r="N16" s="56"/>
      <c r="O16" s="56"/>
      <c r="P16" s="56"/>
      <c r="Q16" s="56"/>
      <c r="R16" s="56" t="s">
        <v>5</v>
      </c>
      <c r="S16" s="1"/>
      <c r="T16" s="1"/>
      <c r="U16" s="57" t="s">
        <v>192</v>
      </c>
      <c r="V16" s="46"/>
      <c r="W16" s="46"/>
      <c r="X16" s="46"/>
      <c r="Y16" s="46"/>
      <c r="Z16" s="1"/>
    </row>
    <row r="17" ht="15.0" customHeight="1">
      <c r="A17" s="1"/>
      <c r="B17" s="1"/>
      <c r="C17" s="1"/>
      <c r="D17" s="1"/>
      <c r="E17" s="1"/>
      <c r="F17" s="1"/>
      <c r="G17" s="58" t="s">
        <v>193</v>
      </c>
      <c r="H17" s="76"/>
      <c r="I17" s="60"/>
      <c r="J17" s="152"/>
      <c r="K17" s="1"/>
      <c r="L17" s="58" t="s">
        <v>194</v>
      </c>
      <c r="M17" s="59"/>
      <c r="N17" s="78"/>
      <c r="O17" s="78"/>
      <c r="P17" s="78"/>
      <c r="Q17" s="78"/>
      <c r="R17" s="152"/>
      <c r="S17" s="1"/>
      <c r="T17" s="1"/>
      <c r="U17" s="66" t="s">
        <v>3</v>
      </c>
      <c r="V17" s="67" t="s">
        <v>159</v>
      </c>
      <c r="W17" s="67" t="s">
        <v>160</v>
      </c>
      <c r="X17" s="67" t="s">
        <v>161</v>
      </c>
      <c r="Y17" s="1"/>
      <c r="Z17" s="1"/>
    </row>
    <row r="18" ht="15.0" customHeight="1">
      <c r="A18" s="1"/>
      <c r="B18" s="77" t="s">
        <v>195</v>
      </c>
      <c r="C18" s="46"/>
      <c r="D18" s="46"/>
      <c r="E18" s="46"/>
      <c r="F18" s="1"/>
      <c r="G18" s="72" t="s">
        <v>196</v>
      </c>
      <c r="H18" s="73">
        <f>SUM(H15:H17)</f>
        <v>0</v>
      </c>
      <c r="I18" s="74"/>
      <c r="J18" s="74"/>
      <c r="K18" s="1"/>
      <c r="L18" s="58" t="s">
        <v>197</v>
      </c>
      <c r="M18" s="59"/>
      <c r="N18" s="78"/>
      <c r="O18" s="78"/>
      <c r="P18" s="78"/>
      <c r="Q18" s="78"/>
      <c r="R18" s="152"/>
      <c r="S18" s="1"/>
      <c r="T18" s="1"/>
      <c r="U18" s="6" t="s">
        <v>198</v>
      </c>
      <c r="V18" s="69">
        <f>'売上計画'!G54</f>
        <v>46.5</v>
      </c>
      <c r="W18" s="69">
        <f>C24</f>
        <v>227295.4</v>
      </c>
      <c r="X18" s="69">
        <f t="shared" ref="X18:X21" si="9">W18-V18</f>
        <v>227248.9</v>
      </c>
      <c r="Y18" s="1"/>
      <c r="Z18" s="1"/>
    </row>
    <row r="19" ht="15.0" customHeight="1">
      <c r="A19" s="1"/>
      <c r="B19" s="56" t="s">
        <v>146</v>
      </c>
      <c r="C19" s="56" t="s">
        <v>133</v>
      </c>
      <c r="D19" s="56" t="s">
        <v>147</v>
      </c>
      <c r="E19" s="56" t="s">
        <v>148</v>
      </c>
      <c r="F19" s="1"/>
      <c r="G19" s="1"/>
      <c r="H19" s="1"/>
      <c r="I19" s="1"/>
      <c r="J19" s="1"/>
      <c r="K19" s="1"/>
      <c r="L19" s="58" t="s">
        <v>199</v>
      </c>
      <c r="M19" s="59"/>
      <c r="N19" s="78"/>
      <c r="O19" s="78"/>
      <c r="P19" s="78"/>
      <c r="Q19" s="78"/>
      <c r="R19" s="152"/>
      <c r="S19" s="1"/>
      <c r="T19" s="1"/>
      <c r="U19" s="6" t="s">
        <v>200</v>
      </c>
      <c r="V19" s="69">
        <f>'売上計画'!G57</f>
        <v>644</v>
      </c>
      <c r="W19" s="69">
        <f>C20+C21+C22+C23</f>
        <v>0</v>
      </c>
      <c r="X19" s="69">
        <f t="shared" si="9"/>
        <v>-644</v>
      </c>
      <c r="Y19" s="1"/>
      <c r="Z19" s="1"/>
    </row>
    <row r="20" ht="15.0" customHeight="1">
      <c r="A20" s="1"/>
      <c r="B20" s="79" t="s">
        <v>201</v>
      </c>
      <c r="C20" s="80">
        <f>SUMIFS('freee実績'!$E:$E,'freee実績'!$B:$B,"2026-08",'freee実績'!$C:$C,"地代家賃")</f>
        <v>0</v>
      </c>
      <c r="D20" s="81" t="s">
        <v>202</v>
      </c>
      <c r="E20" s="152"/>
      <c r="F20" s="1"/>
      <c r="G20" s="82" t="s">
        <v>203</v>
      </c>
      <c r="H20" s="83">
        <f>H11+H18</f>
        <v>0</v>
      </c>
      <c r="I20" s="84"/>
      <c r="J20" s="84"/>
      <c r="K20" s="1"/>
      <c r="L20" s="58" t="s">
        <v>204</v>
      </c>
      <c r="M20" s="59"/>
      <c r="N20" s="78"/>
      <c r="O20" s="78"/>
      <c r="P20" s="78"/>
      <c r="Q20" s="78"/>
      <c r="R20" s="152"/>
      <c r="S20" s="1"/>
      <c r="T20" s="1"/>
      <c r="U20" s="6" t="s">
        <v>205</v>
      </c>
      <c r="V20" s="69">
        <f>'売上計画'!G58</f>
        <v>0</v>
      </c>
      <c r="W20" s="69">
        <f>C25</f>
        <v>0</v>
      </c>
      <c r="X20" s="69">
        <f t="shared" si="9"/>
        <v>0</v>
      </c>
      <c r="Y20" s="1"/>
      <c r="Z20" s="1"/>
    </row>
    <row r="21" ht="15.0" customHeight="1">
      <c r="A21" s="1"/>
      <c r="B21" s="79" t="s">
        <v>206</v>
      </c>
      <c r="C21" s="80">
        <f>SUMIFS('freee実績'!$E:$E,'freee実績'!$B:$B,"2026-08",'freee実績'!$C:$C,"水道光熱費")</f>
        <v>0</v>
      </c>
      <c r="D21" s="81" t="s">
        <v>202</v>
      </c>
      <c r="E21" s="152"/>
      <c r="F21" s="1"/>
      <c r="G21" s="1"/>
      <c r="H21" s="1"/>
      <c r="I21" s="1"/>
      <c r="J21" s="1"/>
      <c r="K21" s="1"/>
      <c r="L21" s="72" t="s">
        <v>207</v>
      </c>
      <c r="M21" s="73">
        <f>SUM(M17:M20)</f>
        <v>0</v>
      </c>
      <c r="N21" s="74"/>
      <c r="O21" s="74"/>
      <c r="P21" s="74"/>
      <c r="Q21" s="74"/>
      <c r="R21" s="74"/>
      <c r="S21" s="1"/>
      <c r="T21" s="1"/>
      <c r="U21" s="6" t="s">
        <v>208</v>
      </c>
      <c r="V21" s="69">
        <f>'売上計画'!G59</f>
        <v>0</v>
      </c>
      <c r="W21" s="69">
        <f>C30</f>
        <v>241729.2333</v>
      </c>
      <c r="X21" s="69">
        <f t="shared" si="9"/>
        <v>241729.2333</v>
      </c>
      <c r="Y21" s="1"/>
      <c r="Z21" s="1"/>
    </row>
    <row r="22" ht="16.5" customHeight="1">
      <c r="A22" s="1"/>
      <c r="B22" s="79" t="s">
        <v>209</v>
      </c>
      <c r="C22" s="80">
        <f>SUMIFS('freee実績'!$E:$E,'freee実績'!$B:$B,"2026-08",'freee実績'!$C:$C,"通信費")</f>
        <v>0</v>
      </c>
      <c r="D22" s="81" t="s">
        <v>202</v>
      </c>
      <c r="E22" s="152"/>
      <c r="F22" s="1"/>
      <c r="G22" s="85" t="s">
        <v>210</v>
      </c>
      <c r="H22" s="46"/>
      <c r="I22" s="46"/>
      <c r="J22" s="4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0"/>
      <c r="W22" s="70"/>
      <c r="X22" s="70"/>
      <c r="Y22" s="1"/>
      <c r="Z22" s="1"/>
    </row>
    <row r="23" ht="15.0" customHeight="1">
      <c r="A23" s="1"/>
      <c r="B23" s="79" t="s">
        <v>211</v>
      </c>
      <c r="C23" s="80">
        <f>SUMIFS('freee実績'!$E:$E,'freee実績'!$B:$B,"2026-08",'freee実績'!$C:$C,"保険料")</f>
        <v>0</v>
      </c>
      <c r="D23" s="81" t="s">
        <v>202</v>
      </c>
      <c r="E23" s="152"/>
      <c r="F23" s="1"/>
      <c r="G23" s="56" t="s">
        <v>212</v>
      </c>
      <c r="H23" s="56" t="s">
        <v>213</v>
      </c>
      <c r="I23" s="56"/>
      <c r="J23" s="56" t="s">
        <v>214</v>
      </c>
      <c r="K23" s="1"/>
      <c r="L23" s="86" t="s">
        <v>215</v>
      </c>
      <c r="M23" s="87">
        <f>Q13+R13+M21</f>
        <v>0</v>
      </c>
      <c r="N23" s="88"/>
      <c r="O23" s="88"/>
      <c r="P23" s="88"/>
      <c r="Q23" s="88"/>
      <c r="R23" s="88"/>
      <c r="S23" s="1"/>
      <c r="T23" s="1"/>
      <c r="U23" s="57" t="s">
        <v>216</v>
      </c>
      <c r="V23" s="46"/>
      <c r="W23" s="46"/>
      <c r="X23" s="46"/>
      <c r="Y23" s="46"/>
      <c r="Z23" s="1"/>
    </row>
    <row r="24" ht="15.0" customHeight="1">
      <c r="A24" s="1"/>
      <c r="B24" s="58" t="s">
        <v>217</v>
      </c>
      <c r="C24" s="89">
        <f>'役員報酬・社保'!C17+'役員報酬・社保'!E17+'役員報酬・社保'!C71+'役員報酬・社保'!E71+86400</f>
        <v>227295.4</v>
      </c>
      <c r="D24" s="90" t="s">
        <v>218</v>
      </c>
      <c r="E24" s="152"/>
      <c r="F24" s="1"/>
      <c r="G24" s="58" t="s">
        <v>219</v>
      </c>
      <c r="H24" s="91">
        <f>'8月日次売上'!J35</f>
        <v>0</v>
      </c>
      <c r="I24" s="78"/>
      <c r="J24" s="92"/>
      <c r="K24" s="1"/>
      <c r="L24" s="1"/>
      <c r="M24" s="1"/>
      <c r="N24" s="1"/>
      <c r="O24" s="1"/>
      <c r="P24" s="1"/>
      <c r="Q24" s="1"/>
      <c r="R24" s="1"/>
      <c r="S24" s="1"/>
      <c r="T24" s="1"/>
      <c r="U24" s="66" t="s">
        <v>3</v>
      </c>
      <c r="V24" s="67" t="s">
        <v>159</v>
      </c>
      <c r="W24" s="67" t="s">
        <v>160</v>
      </c>
      <c r="X24" s="67" t="s">
        <v>161</v>
      </c>
      <c r="Y24" s="66" t="s">
        <v>162</v>
      </c>
      <c r="Z24" s="1"/>
    </row>
    <row r="25" ht="15.0" customHeight="1">
      <c r="A25" s="1"/>
      <c r="B25" s="58" t="s">
        <v>220</v>
      </c>
      <c r="C25" s="93">
        <f>SUMIFS('freee実績'!$E:$E,'freee実績'!$B:$B,"2026-08",'freee実績'!$C:$C,"消耗品費")</f>
        <v>0</v>
      </c>
      <c r="D25" s="90" t="s">
        <v>218</v>
      </c>
      <c r="E25" s="152"/>
      <c r="F25" s="1"/>
      <c r="G25" s="58" t="s">
        <v>173</v>
      </c>
      <c r="H25" s="65">
        <f>IF(H24=0,0,H20/H24)</f>
        <v>0</v>
      </c>
      <c r="I25" s="78"/>
      <c r="J25" s="94" t="s">
        <v>221</v>
      </c>
      <c r="K25" s="1"/>
      <c r="L25" s="95" t="s">
        <v>222</v>
      </c>
      <c r="M25" s="1"/>
      <c r="N25" s="1"/>
      <c r="O25" s="1"/>
      <c r="P25" s="1"/>
      <c r="Q25" s="1"/>
      <c r="R25" s="1"/>
      <c r="S25" s="1"/>
      <c r="T25" s="1"/>
      <c r="U25" s="6" t="s">
        <v>223</v>
      </c>
      <c r="V25" s="69" t="str">
        <f>'売上計画'!G61</f>
        <v/>
      </c>
      <c r="W25" s="69">
        <f>I39</f>
        <v>-241729.2333</v>
      </c>
      <c r="X25" s="69">
        <f t="shared" ref="X25:X26" si="10">W25-V25</f>
        <v>-241729.2333</v>
      </c>
      <c r="Y25" s="71">
        <f>IF(V25=0,0,W25/V25)</f>
        <v>0</v>
      </c>
      <c r="Z25" s="1"/>
    </row>
    <row r="26" ht="15.0" customHeight="1">
      <c r="A26" s="1"/>
      <c r="B26" s="58" t="s">
        <v>224</v>
      </c>
      <c r="C26" s="93">
        <f>SUMIFS('freee実績'!$E:$E,'freee実績'!$B:$B,"2026-08",'freee実績'!$C:$C,"広告宣伝費")</f>
        <v>0</v>
      </c>
      <c r="D26" s="90" t="s">
        <v>218</v>
      </c>
      <c r="E26" s="152"/>
      <c r="F26" s="1"/>
      <c r="G26" s="58" t="s">
        <v>225</v>
      </c>
      <c r="H26" s="63">
        <v>31.0</v>
      </c>
      <c r="I26" s="78"/>
      <c r="J26" s="92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226</v>
      </c>
      <c r="V26" s="71">
        <f>'売上計画'!G62</f>
        <v>337870</v>
      </c>
      <c r="W26" s="71">
        <f>IF(W8=0,0,W25/W8)</f>
        <v>0</v>
      </c>
      <c r="X26" s="71">
        <f t="shared" si="10"/>
        <v>-337870</v>
      </c>
      <c r="Y26" s="1"/>
      <c r="Z26" s="1"/>
    </row>
    <row r="27" ht="15.0" customHeight="1">
      <c r="A27" s="1"/>
      <c r="B27" s="58" t="s">
        <v>227</v>
      </c>
      <c r="C27" s="93">
        <f>SUMIFS('freee実績'!$E:$E,'freee実績'!$B:$B,"2026-08",'freee実績'!$C:$C,"修繕費")</f>
        <v>0</v>
      </c>
      <c r="D27" s="90" t="s">
        <v>218</v>
      </c>
      <c r="E27" s="152"/>
      <c r="F27" s="1"/>
      <c r="G27" s="58" t="s">
        <v>228</v>
      </c>
      <c r="H27" s="65">
        <f>IF(H26=0,0,H20/H26)</f>
        <v>0</v>
      </c>
      <c r="I27" s="78"/>
      <c r="J27" s="94" t="s">
        <v>229</v>
      </c>
      <c r="K27" s="1"/>
      <c r="L27" s="85" t="s">
        <v>230</v>
      </c>
      <c r="M27" s="46"/>
      <c r="N27" s="46"/>
      <c r="O27" s="46"/>
      <c r="P27" s="46"/>
      <c r="Q27" s="46"/>
      <c r="R27" s="46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8" t="s">
        <v>231</v>
      </c>
      <c r="C28" s="93">
        <f>SUMIFS('freee実績'!$E:$E,'freee実績'!$B:$B,"2026-08",'freee実績'!$C:$C,"雑費")</f>
        <v>0</v>
      </c>
      <c r="D28" s="90" t="s">
        <v>218</v>
      </c>
      <c r="E28" s="152"/>
      <c r="F28" s="1"/>
      <c r="G28" s="58" t="s">
        <v>179</v>
      </c>
      <c r="H28" s="96">
        <f>IF(H20=0,0,C16/H20)</f>
        <v>0</v>
      </c>
      <c r="I28" s="78"/>
      <c r="J28" s="94" t="s">
        <v>232</v>
      </c>
      <c r="K28" s="1"/>
      <c r="L28" s="56" t="s">
        <v>212</v>
      </c>
      <c r="M28" s="56" t="s">
        <v>213</v>
      </c>
      <c r="N28" s="56"/>
      <c r="O28" s="56"/>
      <c r="P28" s="56"/>
      <c r="Q28" s="56"/>
      <c r="R28" s="56" t="s">
        <v>214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97" t="s">
        <v>233</v>
      </c>
      <c r="C29" s="98">
        <f>'固定資産台帳'!P26</f>
        <v>14433.83333</v>
      </c>
      <c r="D29" s="99" t="s">
        <v>234</v>
      </c>
      <c r="E29" s="152"/>
      <c r="F29" s="1"/>
      <c r="G29" s="1"/>
      <c r="H29" s="1"/>
      <c r="I29" s="1"/>
      <c r="J29" s="1"/>
      <c r="K29" s="1"/>
      <c r="L29" s="58" t="s">
        <v>235</v>
      </c>
      <c r="M29" s="96">
        <f>IF(H20=0,0,M23/H20)</f>
        <v>0</v>
      </c>
      <c r="N29" s="78"/>
      <c r="O29" s="78"/>
      <c r="P29" s="78"/>
      <c r="Q29" s="78"/>
      <c r="R29" s="94" t="s">
        <v>236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2" t="s">
        <v>237</v>
      </c>
      <c r="C30" s="73">
        <f>SUM(C20:C29)</f>
        <v>241729.2333</v>
      </c>
      <c r="D30" s="74"/>
      <c r="E30" s="74"/>
      <c r="F30" s="1"/>
      <c r="G30" s="1"/>
      <c r="H30" s="1"/>
      <c r="I30" s="1"/>
      <c r="J30" s="1"/>
      <c r="K30" s="1"/>
      <c r="L30" s="58" t="s">
        <v>238</v>
      </c>
      <c r="M30" s="65">
        <f>IF((SUM(N5:N12)*SUM(O5:O12))=0,0,H20/(SUM(N5:N12)*SUM(O5:O12)))</f>
        <v>0</v>
      </c>
      <c r="N30" s="78"/>
      <c r="O30" s="78"/>
      <c r="P30" s="78"/>
      <c r="Q30" s="78"/>
      <c r="R30" s="94" t="s">
        <v>239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77" t="s">
        <v>240</v>
      </c>
      <c r="C32" s="46"/>
      <c r="D32" s="46"/>
      <c r="E32" s="46"/>
      <c r="F32" s="100"/>
      <c r="G32" s="53" t="s">
        <v>241</v>
      </c>
      <c r="H32" s="46"/>
      <c r="I32" s="46"/>
      <c r="J32" s="46"/>
      <c r="K32" s="1"/>
      <c r="L32" s="101" t="s">
        <v>242</v>
      </c>
      <c r="M32" s="46"/>
      <c r="N32" s="46"/>
      <c r="O32" s="46"/>
      <c r="P32" s="46"/>
      <c r="Q32" s="46"/>
      <c r="R32" s="46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6" t="s">
        <v>146</v>
      </c>
      <c r="C33" s="56" t="s">
        <v>243</v>
      </c>
      <c r="D33" s="56" t="s">
        <v>160</v>
      </c>
      <c r="E33" s="102" t="s">
        <v>244</v>
      </c>
      <c r="F33" s="56" t="s">
        <v>148</v>
      </c>
      <c r="G33" s="56"/>
      <c r="H33" s="56" t="s">
        <v>3</v>
      </c>
      <c r="I33" s="56" t="s">
        <v>133</v>
      </c>
      <c r="J33" s="56"/>
      <c r="K33" s="1"/>
      <c r="L33" s="95" t="s">
        <v>245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58" t="s">
        <v>294</v>
      </c>
      <c r="C34" s="76"/>
      <c r="D34" s="59"/>
      <c r="E34" s="65">
        <f t="shared" ref="E34:E54" si="11">C34-D34</f>
        <v>0</v>
      </c>
      <c r="F34" s="109"/>
      <c r="G34" s="78"/>
      <c r="H34" s="106" t="s">
        <v>246</v>
      </c>
      <c r="I34" s="65">
        <f>H20</f>
        <v>0</v>
      </c>
      <c r="J34" s="78"/>
      <c r="K34" s="1"/>
      <c r="L34" s="107" t="s">
        <v>247</v>
      </c>
      <c r="M34" s="108" t="s">
        <v>248</v>
      </c>
      <c r="N34" s="95" t="s">
        <v>249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58" t="s">
        <v>295</v>
      </c>
      <c r="C35" s="76">
        <v>2800000.0</v>
      </c>
      <c r="D35" s="76">
        <v>2800000.0</v>
      </c>
      <c r="E35" s="65">
        <f t="shared" si="11"/>
        <v>0</v>
      </c>
      <c r="F35" s="109"/>
      <c r="G35" s="78"/>
      <c r="H35" s="106" t="s">
        <v>183</v>
      </c>
      <c r="I35" s="65">
        <f>C16</f>
        <v>0</v>
      </c>
      <c r="J35" s="78"/>
      <c r="K35" s="1"/>
      <c r="L35" s="58" t="s">
        <v>250</v>
      </c>
      <c r="M35" s="52">
        <f>M23</f>
        <v>0</v>
      </c>
      <c r="N35" s="110" t="s">
        <v>251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58" t="s">
        <v>296</v>
      </c>
      <c r="C36" s="76"/>
      <c r="D36" s="59"/>
      <c r="E36" s="65">
        <f t="shared" si="11"/>
        <v>0</v>
      </c>
      <c r="F36" s="109"/>
      <c r="G36" s="78"/>
      <c r="H36" s="106" t="s">
        <v>185</v>
      </c>
      <c r="I36" s="65">
        <f>I34-I35</f>
        <v>0</v>
      </c>
      <c r="J36" s="78"/>
      <c r="K36" s="1"/>
      <c r="L36" s="58" t="s">
        <v>252</v>
      </c>
      <c r="M36" s="65">
        <f>IF(M34="支払い",M35,0)</f>
        <v>0</v>
      </c>
      <c r="N36" s="95" t="s">
        <v>253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0"/>
      <c r="C37" s="76"/>
      <c r="D37" s="59"/>
      <c r="E37" s="65">
        <f t="shared" si="11"/>
        <v>0</v>
      </c>
      <c r="F37" s="109"/>
      <c r="G37" s="78"/>
      <c r="H37" s="106" t="s">
        <v>254</v>
      </c>
      <c r="I37" s="96">
        <f>IF(I34=0,0,I36/I34)</f>
        <v>0</v>
      </c>
      <c r="J37" s="78"/>
      <c r="K37" s="1"/>
      <c r="L37" s="111" t="s">
        <v>255</v>
      </c>
      <c r="M37" s="112">
        <f>M35-M36</f>
        <v>0</v>
      </c>
      <c r="N37" s="95" t="s">
        <v>256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3"/>
      <c r="C38" s="76"/>
      <c r="D38" s="59"/>
      <c r="E38" s="65">
        <f t="shared" si="11"/>
        <v>0</v>
      </c>
      <c r="F38" s="109"/>
      <c r="G38" s="78"/>
      <c r="H38" s="106" t="s">
        <v>208</v>
      </c>
      <c r="I38" s="65">
        <f>C30</f>
        <v>241729.2333</v>
      </c>
      <c r="J38" s="78"/>
      <c r="K38" s="1"/>
      <c r="L38" s="58" t="s">
        <v>257</v>
      </c>
      <c r="M38" s="52">
        <f>'7月'!M39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0"/>
      <c r="C39" s="76"/>
      <c r="D39" s="59"/>
      <c r="E39" s="65">
        <f t="shared" si="11"/>
        <v>0</v>
      </c>
      <c r="F39" s="109"/>
      <c r="G39" s="78"/>
      <c r="H39" s="113" t="s">
        <v>223</v>
      </c>
      <c r="I39" s="114">
        <f>I36-I38</f>
        <v>-241729.2333</v>
      </c>
      <c r="J39" s="115"/>
      <c r="K39" s="1"/>
      <c r="L39" s="116" t="s">
        <v>258</v>
      </c>
      <c r="M39" s="117">
        <f>M38+M37</f>
        <v>0</v>
      </c>
      <c r="N39" s="95" t="s">
        <v>259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3"/>
      <c r="C40" s="76"/>
      <c r="D40" s="59"/>
      <c r="E40" s="65">
        <f t="shared" si="11"/>
        <v>0</v>
      </c>
      <c r="F40" s="109"/>
      <c r="G40" s="118"/>
      <c r="H40" s="118"/>
      <c r="I40" s="118"/>
      <c r="J40" s="1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0"/>
      <c r="C41" s="76"/>
      <c r="D41" s="59"/>
      <c r="E41" s="65">
        <f t="shared" si="11"/>
        <v>0</v>
      </c>
      <c r="F41" s="109"/>
      <c r="G41" s="118"/>
      <c r="H41" s="118"/>
      <c r="I41" s="118"/>
      <c r="J41" s="118"/>
      <c r="K41" s="1"/>
      <c r="L41" s="58" t="s">
        <v>260</v>
      </c>
      <c r="M41" s="59"/>
      <c r="N41" s="95" t="s">
        <v>261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3"/>
      <c r="C42" s="76"/>
      <c r="D42" s="59"/>
      <c r="E42" s="65">
        <f t="shared" si="11"/>
        <v>0</v>
      </c>
      <c r="F42" s="109"/>
      <c r="G42" s="118"/>
      <c r="H42" s="118"/>
      <c r="I42" s="118"/>
      <c r="J42" s="1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0"/>
      <c r="C43" s="76"/>
      <c r="D43" s="59"/>
      <c r="E43" s="65">
        <f t="shared" si="11"/>
        <v>0</v>
      </c>
      <c r="F43" s="109"/>
      <c r="G43" s="118"/>
      <c r="H43" s="118"/>
      <c r="I43" s="118"/>
      <c r="J43" s="1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3"/>
      <c r="C44" s="76"/>
      <c r="D44" s="59"/>
      <c r="E44" s="65">
        <f t="shared" si="11"/>
        <v>0</v>
      </c>
      <c r="F44" s="109"/>
      <c r="G44" s="118"/>
      <c r="H44" s="118"/>
      <c r="I44" s="118"/>
      <c r="J44" s="1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0"/>
      <c r="C45" s="76"/>
      <c r="D45" s="59"/>
      <c r="E45" s="65">
        <f t="shared" si="11"/>
        <v>0</v>
      </c>
      <c r="F45" s="109"/>
      <c r="G45" s="118"/>
      <c r="H45" s="118"/>
      <c r="I45" s="118"/>
      <c r="J45" s="1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3"/>
      <c r="C46" s="76"/>
      <c r="D46" s="59"/>
      <c r="E46" s="65">
        <f t="shared" si="11"/>
        <v>0</v>
      </c>
      <c r="F46" s="109"/>
      <c r="G46" s="118"/>
      <c r="H46" s="118"/>
      <c r="I46" s="118"/>
      <c r="J46" s="1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0"/>
      <c r="C47" s="76"/>
      <c r="D47" s="59"/>
      <c r="E47" s="65">
        <f t="shared" si="11"/>
        <v>0</v>
      </c>
      <c r="F47" s="109"/>
      <c r="G47" s="118"/>
      <c r="H47" s="118"/>
      <c r="I47" s="118"/>
      <c r="J47" s="1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3"/>
      <c r="C48" s="76"/>
      <c r="D48" s="59"/>
      <c r="E48" s="65">
        <f t="shared" si="11"/>
        <v>0</v>
      </c>
      <c r="F48" s="109"/>
      <c r="G48" s="118"/>
      <c r="H48" s="118"/>
      <c r="I48" s="118"/>
      <c r="J48" s="1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0"/>
      <c r="C49" s="76"/>
      <c r="D49" s="59"/>
      <c r="E49" s="65">
        <f t="shared" si="11"/>
        <v>0</v>
      </c>
      <c r="F49" s="109"/>
      <c r="G49" s="118"/>
      <c r="H49" s="118"/>
      <c r="I49" s="118"/>
      <c r="J49" s="1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3"/>
      <c r="C50" s="76"/>
      <c r="D50" s="59"/>
      <c r="E50" s="65">
        <f t="shared" si="11"/>
        <v>0</v>
      </c>
      <c r="F50" s="109"/>
      <c r="G50" s="118"/>
      <c r="H50" s="118"/>
      <c r="I50" s="118"/>
      <c r="J50" s="1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0"/>
      <c r="C51" s="76"/>
      <c r="D51" s="59"/>
      <c r="E51" s="65">
        <f t="shared" si="11"/>
        <v>0</v>
      </c>
      <c r="F51" s="109"/>
      <c r="G51" s="118"/>
      <c r="H51" s="118"/>
      <c r="I51" s="118"/>
      <c r="J51" s="1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3"/>
      <c r="C52" s="76"/>
      <c r="D52" s="59"/>
      <c r="E52" s="65">
        <f t="shared" si="11"/>
        <v>0</v>
      </c>
      <c r="F52" s="109"/>
      <c r="G52" s="118"/>
      <c r="H52" s="118"/>
      <c r="I52" s="118"/>
      <c r="J52" s="1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0"/>
      <c r="C53" s="76"/>
      <c r="D53" s="59"/>
      <c r="E53" s="65">
        <f t="shared" si="11"/>
        <v>0</v>
      </c>
      <c r="F53" s="109"/>
      <c r="G53" s="118"/>
      <c r="H53" s="118"/>
      <c r="I53" s="118"/>
      <c r="J53" s="1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2" t="s">
        <v>262</v>
      </c>
      <c r="C54" s="73">
        <f t="shared" ref="C54:D54" si="12">SUM(C34:C53)</f>
        <v>2800000</v>
      </c>
      <c r="D54" s="73">
        <f t="shared" si="12"/>
        <v>2800000</v>
      </c>
      <c r="E54" s="73">
        <f t="shared" si="11"/>
        <v>0</v>
      </c>
      <c r="F54" s="74"/>
      <c r="G54" s="118"/>
      <c r="H54" s="119"/>
      <c r="I54" s="120"/>
      <c r="J54" s="1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18"/>
      <c r="H55" s="119"/>
      <c r="I55" s="121"/>
      <c r="J55" s="1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2" t="s">
        <v>263</v>
      </c>
      <c r="C56" s="123">
        <f>C16+C30+D54</f>
        <v>3041729.233</v>
      </c>
      <c r="D56" s="124"/>
      <c r="E56" s="124"/>
      <c r="F56" s="1"/>
      <c r="G56" s="118"/>
      <c r="H56" s="119"/>
      <c r="I56" s="121"/>
      <c r="J56" s="1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18"/>
      <c r="H57" s="118"/>
      <c r="I57" s="118"/>
      <c r="J57" s="1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5" t="s">
        <v>264</v>
      </c>
      <c r="H58" s="46"/>
      <c r="I58" s="46"/>
      <c r="J58" s="4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6"/>
      <c r="H59" s="56" t="s">
        <v>3</v>
      </c>
      <c r="I59" s="56" t="s">
        <v>133</v>
      </c>
      <c r="J59" s="5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6"/>
      <c r="H60" s="127" t="s">
        <v>223</v>
      </c>
      <c r="I60" s="128">
        <f>I39</f>
        <v>-241729.2333</v>
      </c>
      <c r="J60" s="12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6"/>
      <c r="H61" s="127" t="s">
        <v>265</v>
      </c>
      <c r="I61" s="130">
        <f>C29</f>
        <v>14433.83333</v>
      </c>
      <c r="J61" s="131" t="s">
        <v>266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2"/>
      <c r="H62" s="72" t="s">
        <v>267</v>
      </c>
      <c r="I62" s="73">
        <f>I60+I61+M37-M41</f>
        <v>-227295.4</v>
      </c>
      <c r="J62" s="133" t="s">
        <v>268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18"/>
      <c r="H63" s="118"/>
      <c r="I63" s="118"/>
      <c r="J63" s="1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6"/>
      <c r="H64" s="127" t="s">
        <v>269</v>
      </c>
      <c r="I64" s="130">
        <f>D54</f>
        <v>2800000</v>
      </c>
      <c r="J64" s="131" t="s">
        <v>270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2"/>
      <c r="H65" s="72" t="s">
        <v>271</v>
      </c>
      <c r="I65" s="73">
        <f>-I64</f>
        <v>-2800000</v>
      </c>
      <c r="J65" s="133" t="s">
        <v>272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18"/>
      <c r="H66" s="118"/>
      <c r="I66" s="118"/>
      <c r="J66" s="1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6"/>
      <c r="H67" s="127" t="s">
        <v>273</v>
      </c>
      <c r="I67" s="130" t="str">
        <f>C6</f>
        <v/>
      </c>
      <c r="J67" s="12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2"/>
      <c r="H68" s="72" t="s">
        <v>274</v>
      </c>
      <c r="I68" s="73" t="str">
        <f>I67</f>
        <v/>
      </c>
      <c r="J68" s="1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18"/>
      <c r="H69" s="118"/>
      <c r="I69" s="118"/>
      <c r="J69" s="1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3" t="s">
        <v>275</v>
      </c>
      <c r="H70" s="46"/>
      <c r="I70" s="46"/>
      <c r="J70" s="4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4"/>
      <c r="H71" s="58" t="s">
        <v>276</v>
      </c>
      <c r="I71" s="89">
        <f>C5</f>
        <v>3983694</v>
      </c>
      <c r="J71" s="13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4"/>
      <c r="H72" s="58" t="s">
        <v>277</v>
      </c>
      <c r="I72" s="104">
        <f>I62</f>
        <v>-227295.4</v>
      </c>
      <c r="J72" s="13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4"/>
      <c r="H73" s="58" t="s">
        <v>278</v>
      </c>
      <c r="I73" s="104">
        <f>I65</f>
        <v>-2800000</v>
      </c>
      <c r="J73" s="1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4"/>
      <c r="H74" s="58" t="s">
        <v>279</v>
      </c>
      <c r="I74" s="104" t="str">
        <f>I68</f>
        <v/>
      </c>
      <c r="J74" s="1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6"/>
      <c r="H75" s="137" t="s">
        <v>280</v>
      </c>
      <c r="I75" s="138">
        <f>I71+I72+I73+I74</f>
        <v>956398.6</v>
      </c>
      <c r="J75" s="139" t="s">
        <v>281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18"/>
      <c r="H76" s="118"/>
      <c r="I76" s="118"/>
      <c r="J76" s="1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18"/>
      <c r="H77" s="95" t="s">
        <v>282</v>
      </c>
      <c r="I77" s="118"/>
      <c r="J77" s="1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4"/>
      <c r="H78" s="140" t="s">
        <v>283</v>
      </c>
      <c r="I78" s="141">
        <f>I39</f>
        <v>-241729.2333</v>
      </c>
      <c r="J78" s="1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4"/>
      <c r="H79" s="140" t="s">
        <v>284</v>
      </c>
      <c r="I79" s="141">
        <f>I72+I73+I74</f>
        <v>-3027295.4</v>
      </c>
      <c r="J79" s="1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2"/>
      <c r="H80" s="143" t="s">
        <v>285</v>
      </c>
      <c r="I80" s="144">
        <f>I79-I78</f>
        <v>-2785566.167</v>
      </c>
      <c r="J80" s="143" t="s">
        <v>286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18"/>
      <c r="H81" s="118"/>
      <c r="I81" s="118"/>
      <c r="J81" s="1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6"/>
      <c r="H82" s="145" t="s">
        <v>287</v>
      </c>
      <c r="I82" s="146">
        <f>I75</f>
        <v>956398.6</v>
      </c>
      <c r="J82" s="147" t="s">
        <v>288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48"/>
      <c r="H83" s="149" t="s">
        <v>289</v>
      </c>
      <c r="I83" s="150">
        <f>I75-M37</f>
        <v>956398.6</v>
      </c>
      <c r="J83" s="151" t="s">
        <v>290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18"/>
      <c r="H84" s="118"/>
      <c r="I84" s="118"/>
      <c r="J84" s="1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4" t="s">
        <v>331</v>
      </c>
      <c r="K1" s="1"/>
      <c r="L1" s="1"/>
      <c r="M1" s="1"/>
      <c r="N1" s="1"/>
      <c r="O1" s="1"/>
      <c r="P1" s="1"/>
      <c r="Q1" s="1"/>
      <c r="R1" s="1"/>
      <c r="S1" s="1"/>
      <c r="T1" s="1"/>
      <c r="U1" s="45" t="s">
        <v>137</v>
      </c>
      <c r="V1" s="46"/>
      <c r="W1" s="46"/>
      <c r="X1" s="46"/>
      <c r="Y1" s="46"/>
      <c r="Z1" s="1"/>
    </row>
    <row r="2" ht="21.0" customHeight="1">
      <c r="A2" s="1"/>
      <c r="B2" s="47" t="s">
        <v>138</v>
      </c>
      <c r="C2" s="48">
        <f>I75</f>
        <v>1729103.2</v>
      </c>
      <c r="D2" s="1"/>
      <c r="E2" s="49" t="s">
        <v>139</v>
      </c>
      <c r="F2" s="50">
        <f>C16+SUM(C20:C23)+SUM(C25:C28)+M36+D54+M41</f>
        <v>0</v>
      </c>
      <c r="G2" s="1"/>
      <c r="H2" s="49" t="s">
        <v>140</v>
      </c>
      <c r="I2" s="51">
        <f>I39</f>
        <v>-241729.2333</v>
      </c>
      <c r="J2" s="1"/>
      <c r="K2" s="1"/>
      <c r="L2" s="47" t="s">
        <v>141</v>
      </c>
      <c r="M2" s="52">
        <f>'10月'!C20+'10月'!C21+'10月'!C22+'10月'!C23+'10月'!C25</f>
        <v>0</v>
      </c>
      <c r="N2" s="1"/>
      <c r="O2" s="1"/>
      <c r="P2" s="1"/>
      <c r="Q2" s="1"/>
      <c r="R2" s="1"/>
      <c r="S2" s="1"/>
      <c r="T2" s="1"/>
      <c r="U2" s="3" t="s">
        <v>142</v>
      </c>
      <c r="Z2" s="1"/>
    </row>
    <row r="3" ht="15.0" customHeight="1">
      <c r="A3" s="1"/>
      <c r="B3" s="53" t="s">
        <v>143</v>
      </c>
      <c r="C3" s="46"/>
      <c r="D3" s="46"/>
      <c r="E3" s="46"/>
      <c r="F3" s="1"/>
      <c r="G3" s="54" t="s">
        <v>144</v>
      </c>
      <c r="H3" s="46"/>
      <c r="I3" s="46"/>
      <c r="J3" s="46"/>
      <c r="K3" s="1"/>
      <c r="L3" s="55" t="s">
        <v>145</v>
      </c>
      <c r="M3" s="46"/>
      <c r="N3" s="46"/>
      <c r="O3" s="46"/>
      <c r="P3" s="46"/>
      <c r="Q3" s="46"/>
      <c r="R3" s="46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6" t="s">
        <v>146</v>
      </c>
      <c r="C4" s="56" t="s">
        <v>133</v>
      </c>
      <c r="D4" s="56" t="s">
        <v>147</v>
      </c>
      <c r="E4" s="56" t="s">
        <v>148</v>
      </c>
      <c r="F4" s="1"/>
      <c r="G4" s="56" t="s">
        <v>70</v>
      </c>
      <c r="H4" s="56" t="s">
        <v>133</v>
      </c>
      <c r="I4" s="56" t="s">
        <v>147</v>
      </c>
      <c r="J4" s="56" t="s">
        <v>148</v>
      </c>
      <c r="K4" s="1"/>
      <c r="L4" s="56" t="s">
        <v>149</v>
      </c>
      <c r="M4" s="56" t="s">
        <v>150</v>
      </c>
      <c r="N4" s="56" t="s">
        <v>151</v>
      </c>
      <c r="O4" s="56" t="s">
        <v>152</v>
      </c>
      <c r="P4" s="56" t="s">
        <v>153</v>
      </c>
      <c r="Q4" s="56" t="s">
        <v>154</v>
      </c>
      <c r="R4" s="56" t="s">
        <v>155</v>
      </c>
      <c r="S4" s="1"/>
      <c r="T4" s="1"/>
      <c r="U4" s="57" t="s">
        <v>156</v>
      </c>
      <c r="V4" s="46"/>
      <c r="W4" s="46"/>
      <c r="X4" s="46"/>
      <c r="Y4" s="46"/>
      <c r="Z4" s="1"/>
    </row>
    <row r="5" ht="15.0" customHeight="1">
      <c r="A5" s="1"/>
      <c r="B5" s="58" t="s">
        <v>292</v>
      </c>
      <c r="C5" s="52">
        <f>'8月'!I75</f>
        <v>956398.6</v>
      </c>
      <c r="D5" s="60"/>
      <c r="E5" s="152"/>
      <c r="F5" s="1"/>
      <c r="G5" s="58" t="s">
        <v>158</v>
      </c>
      <c r="H5" s="52">
        <f>'9月日次売上'!C34</f>
        <v>0</v>
      </c>
      <c r="I5" s="60"/>
      <c r="J5" s="152"/>
      <c r="K5" s="1"/>
      <c r="L5" s="60"/>
      <c r="M5" s="59"/>
      <c r="N5" s="63"/>
      <c r="O5" s="64"/>
      <c r="P5" s="59"/>
      <c r="Q5" s="65">
        <f t="shared" ref="Q5:Q12" si="1">M5*N5*O5</f>
        <v>0</v>
      </c>
      <c r="R5" s="65">
        <f t="shared" ref="R5:R12" si="2">P5*N5</f>
        <v>0</v>
      </c>
      <c r="S5" s="1"/>
      <c r="T5" s="1"/>
      <c r="U5" s="66" t="s">
        <v>3</v>
      </c>
      <c r="V5" s="67" t="s">
        <v>159</v>
      </c>
      <c r="W5" s="67" t="s">
        <v>160</v>
      </c>
      <c r="X5" s="67" t="s">
        <v>161</v>
      </c>
      <c r="Y5" s="66" t="s">
        <v>162</v>
      </c>
      <c r="Z5" s="1"/>
    </row>
    <row r="6" ht="15.0" customHeight="1">
      <c r="A6" s="1"/>
      <c r="B6" s="58" t="s">
        <v>163</v>
      </c>
      <c r="C6" s="159">
        <v>1000000.0</v>
      </c>
      <c r="D6" s="153" t="s">
        <v>332</v>
      </c>
      <c r="E6" s="165" t="s">
        <v>333</v>
      </c>
      <c r="F6" s="1"/>
      <c r="G6" s="58" t="s">
        <v>164</v>
      </c>
      <c r="H6" s="52">
        <f>'9月日次売上'!D34</f>
        <v>0</v>
      </c>
      <c r="I6" s="60"/>
      <c r="J6" s="152"/>
      <c r="K6" s="1"/>
      <c r="L6" s="60"/>
      <c r="M6" s="59"/>
      <c r="N6" s="63"/>
      <c r="O6" s="64"/>
      <c r="P6" s="59"/>
      <c r="Q6" s="65">
        <f t="shared" si="1"/>
        <v>0</v>
      </c>
      <c r="R6" s="65">
        <f t="shared" si="2"/>
        <v>0</v>
      </c>
      <c r="S6" s="1"/>
      <c r="T6" s="1"/>
      <c r="U6" s="6" t="s">
        <v>165</v>
      </c>
      <c r="V6" s="69">
        <f>'売上計画'!H38</f>
        <v>13</v>
      </c>
      <c r="W6" s="70">
        <f>IF(H26=0,"",H24/H26/2)</f>
        <v>0</v>
      </c>
      <c r="X6" s="69">
        <f t="shared" ref="X6:X7" si="3">IF(W6="",0,W6-V6)</f>
        <v>-13</v>
      </c>
      <c r="Y6" s="71">
        <f t="shared" ref="Y6:Y7" si="4">IF(OR(W6="",V6=0),0,W6/V6)</f>
        <v>0</v>
      </c>
      <c r="Z6" s="1"/>
    </row>
    <row r="7" ht="15.0" customHeight="1">
      <c r="A7" s="1"/>
      <c r="B7" s="72" t="s">
        <v>166</v>
      </c>
      <c r="C7" s="73">
        <f>SUM(C5:C6)</f>
        <v>1956398.6</v>
      </c>
      <c r="D7" s="74"/>
      <c r="E7" s="74"/>
      <c r="F7" s="1"/>
      <c r="G7" s="58" t="s">
        <v>167</v>
      </c>
      <c r="H7" s="52">
        <f>'9月日次売上'!E34</f>
        <v>0</v>
      </c>
      <c r="I7" s="60"/>
      <c r="J7" s="152"/>
      <c r="K7" s="1"/>
      <c r="L7" s="60"/>
      <c r="M7" s="59"/>
      <c r="N7" s="63"/>
      <c r="O7" s="64"/>
      <c r="P7" s="59"/>
      <c r="Q7" s="65">
        <f t="shared" si="1"/>
        <v>0</v>
      </c>
      <c r="R7" s="65">
        <f t="shared" si="2"/>
        <v>0</v>
      </c>
      <c r="S7" s="1"/>
      <c r="T7" s="1"/>
      <c r="U7" s="6" t="s">
        <v>168</v>
      </c>
      <c r="V7" s="69">
        <f>'売上計画'!H39</f>
        <v>7</v>
      </c>
      <c r="W7" s="70">
        <f>IF(H26=0,"",H24/H26/2)</f>
        <v>0</v>
      </c>
      <c r="X7" s="69">
        <f t="shared" si="3"/>
        <v>-7</v>
      </c>
      <c r="Y7" s="71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58" t="s">
        <v>169</v>
      </c>
      <c r="H8" s="52">
        <f>'9月日次売上'!F34</f>
        <v>0</v>
      </c>
      <c r="I8" s="60"/>
      <c r="J8" s="152"/>
      <c r="K8" s="1"/>
      <c r="L8" s="60"/>
      <c r="M8" s="59"/>
      <c r="N8" s="63"/>
      <c r="O8" s="64"/>
      <c r="P8" s="59"/>
      <c r="Q8" s="65">
        <f t="shared" si="1"/>
        <v>0</v>
      </c>
      <c r="R8" s="65">
        <f t="shared" si="2"/>
        <v>0</v>
      </c>
      <c r="S8" s="1"/>
      <c r="T8" s="1"/>
      <c r="U8" s="6" t="s">
        <v>170</v>
      </c>
      <c r="V8" s="69">
        <f>'売上計画'!H45</f>
        <v>709500</v>
      </c>
      <c r="W8" s="69">
        <f>H20</f>
        <v>0</v>
      </c>
      <c r="X8" s="69">
        <f t="shared" ref="X8:X9" si="5">W8-V8</f>
        <v>-709500</v>
      </c>
      <c r="Y8" s="71">
        <f t="shared" ref="Y8:Y9" si="6">IF(V8=0,0,W8/V8)</f>
        <v>0</v>
      </c>
      <c r="Z8" s="1"/>
    </row>
    <row r="9" ht="15.0" customHeight="1">
      <c r="A9" s="1"/>
      <c r="B9" s="75" t="s">
        <v>171</v>
      </c>
      <c r="C9" s="46"/>
      <c r="D9" s="46"/>
      <c r="E9" s="46"/>
      <c r="F9" s="1"/>
      <c r="G9" s="58" t="s">
        <v>172</v>
      </c>
      <c r="H9" s="52">
        <f>'9月日次売上'!G34</f>
        <v>0</v>
      </c>
      <c r="I9" s="60"/>
      <c r="J9" s="152"/>
      <c r="K9" s="1"/>
      <c r="L9" s="60"/>
      <c r="M9" s="59"/>
      <c r="N9" s="63"/>
      <c r="O9" s="64"/>
      <c r="P9" s="59"/>
      <c r="Q9" s="65">
        <f t="shared" si="1"/>
        <v>0</v>
      </c>
      <c r="R9" s="65">
        <f t="shared" si="2"/>
        <v>0</v>
      </c>
      <c r="S9" s="1"/>
      <c r="T9" s="1"/>
      <c r="U9" s="6" t="s">
        <v>173</v>
      </c>
      <c r="V9" s="69">
        <f>IF((V6*'売上計画'!$C$7+V7*'売上計画'!$C$8)=0,0,V8/(V6*'売上計画'!$C$7+V7*'売上計画'!$C$8))</f>
        <v>1182.5</v>
      </c>
      <c r="W9" s="69">
        <f>H25</f>
        <v>0</v>
      </c>
      <c r="X9" s="69">
        <f t="shared" si="5"/>
        <v>-1182.5</v>
      </c>
      <c r="Y9" s="71">
        <f t="shared" si="6"/>
        <v>0</v>
      </c>
      <c r="Z9" s="1"/>
    </row>
    <row r="10" ht="15.0" customHeight="1">
      <c r="A10" s="1"/>
      <c r="B10" s="56" t="s">
        <v>146</v>
      </c>
      <c r="C10" s="56" t="s">
        <v>133</v>
      </c>
      <c r="D10" s="56" t="s">
        <v>147</v>
      </c>
      <c r="E10" s="56" t="s">
        <v>148</v>
      </c>
      <c r="F10" s="1"/>
      <c r="G10" s="58" t="s">
        <v>174</v>
      </c>
      <c r="H10" s="52">
        <f>'9月日次売上'!H34</f>
        <v>0</v>
      </c>
      <c r="I10" s="60"/>
      <c r="J10" s="152"/>
      <c r="K10" s="1"/>
      <c r="L10" s="60"/>
      <c r="M10" s="59"/>
      <c r="N10" s="63"/>
      <c r="O10" s="64"/>
      <c r="P10" s="59"/>
      <c r="Q10" s="65">
        <f t="shared" si="1"/>
        <v>0</v>
      </c>
      <c r="R10" s="65">
        <f t="shared" si="2"/>
        <v>0</v>
      </c>
      <c r="S10" s="1"/>
      <c r="T10" s="1"/>
      <c r="U10" s="1"/>
      <c r="V10" s="70"/>
      <c r="W10" s="70"/>
      <c r="X10" s="70"/>
      <c r="Y10" s="1"/>
      <c r="Z10" s="1"/>
    </row>
    <row r="11" ht="15.0" customHeight="1">
      <c r="A11" s="1"/>
      <c r="B11" s="58" t="s">
        <v>175</v>
      </c>
      <c r="C11" s="76">
        <f>SUMIFS('freee実績'!$E:$E,'freee実績'!$B:$B,"2026-09",'freee実績'!$C:$C,"仕入高",'freee実績'!$D:$D,"コーヒー豆・茶葉")</f>
        <v>0</v>
      </c>
      <c r="D11" s="60"/>
      <c r="E11" s="152"/>
      <c r="F11" s="1"/>
      <c r="G11" s="72" t="s">
        <v>176</v>
      </c>
      <c r="H11" s="73">
        <f>SUM(H5:H10)</f>
        <v>0</v>
      </c>
      <c r="I11" s="74"/>
      <c r="J11" s="74"/>
      <c r="K11" s="1"/>
      <c r="L11" s="60"/>
      <c r="M11" s="59"/>
      <c r="N11" s="63"/>
      <c r="O11" s="64"/>
      <c r="P11" s="59"/>
      <c r="Q11" s="65">
        <f t="shared" si="1"/>
        <v>0</v>
      </c>
      <c r="R11" s="65">
        <f t="shared" si="2"/>
        <v>0</v>
      </c>
      <c r="S11" s="1"/>
      <c r="T11" s="1"/>
      <c r="U11" s="57" t="s">
        <v>177</v>
      </c>
      <c r="V11" s="46"/>
      <c r="W11" s="46"/>
      <c r="X11" s="46"/>
      <c r="Y11" s="46"/>
      <c r="Z11" s="1"/>
    </row>
    <row r="12" ht="15.0" customHeight="1">
      <c r="A12" s="1"/>
      <c r="B12" s="58" t="s">
        <v>178</v>
      </c>
      <c r="C12" s="76">
        <f>SUMIFS('freee実績'!$E:$E,'freee実績'!$B:$B,"2026-09",'freee実績'!$C:$C,"仕入高",'freee実績'!$D:$D,"牛乳・シロップ等")</f>
        <v>0</v>
      </c>
      <c r="D12" s="60"/>
      <c r="E12" s="152"/>
      <c r="F12" s="1"/>
      <c r="G12" s="1"/>
      <c r="H12" s="1"/>
      <c r="I12" s="1"/>
      <c r="J12" s="1"/>
      <c r="K12" s="1"/>
      <c r="L12" s="60"/>
      <c r="M12" s="59"/>
      <c r="N12" s="63"/>
      <c r="O12" s="64"/>
      <c r="P12" s="59"/>
      <c r="Q12" s="65">
        <f t="shared" si="1"/>
        <v>0</v>
      </c>
      <c r="R12" s="65">
        <f t="shared" si="2"/>
        <v>0</v>
      </c>
      <c r="S12" s="1"/>
      <c r="T12" s="1"/>
      <c r="U12" s="66" t="s">
        <v>3</v>
      </c>
      <c r="V12" s="67" t="s">
        <v>159</v>
      </c>
      <c r="W12" s="67" t="s">
        <v>160</v>
      </c>
      <c r="X12" s="67" t="s">
        <v>161</v>
      </c>
      <c r="Y12" s="66" t="s">
        <v>179</v>
      </c>
      <c r="Z12" s="1"/>
    </row>
    <row r="13" ht="15.0" customHeight="1">
      <c r="A13" s="1"/>
      <c r="B13" s="58" t="s">
        <v>180</v>
      </c>
      <c r="C13" s="76">
        <f>SUMIFS('freee実績'!$E:$E,'freee実績'!$B:$B,"2026-09",'freee実績'!$C:$C,"仕入高",'freee実績'!$D:$D,"フード材料費")</f>
        <v>0</v>
      </c>
      <c r="D13" s="60"/>
      <c r="E13" s="152"/>
      <c r="F13" s="1"/>
      <c r="G13" s="54" t="s">
        <v>181</v>
      </c>
      <c r="H13" s="46"/>
      <c r="I13" s="46"/>
      <c r="J13" s="46"/>
      <c r="K13" s="1"/>
      <c r="L13" s="72" t="s">
        <v>182</v>
      </c>
      <c r="M13" s="74"/>
      <c r="N13" s="74"/>
      <c r="O13" s="74"/>
      <c r="P13" s="74"/>
      <c r="Q13" s="73">
        <f t="shared" ref="Q13:R13" si="7">SUM(Q5:Q12)</f>
        <v>0</v>
      </c>
      <c r="R13" s="73">
        <f t="shared" si="7"/>
        <v>0</v>
      </c>
      <c r="S13" s="1"/>
      <c r="T13" s="1"/>
      <c r="U13" s="6" t="s">
        <v>183</v>
      </c>
      <c r="V13" s="69">
        <f>'売上計画'!H46</f>
        <v>212850</v>
      </c>
      <c r="W13" s="69">
        <f>C16</f>
        <v>0</v>
      </c>
      <c r="X13" s="69">
        <f t="shared" ref="X13:X14" si="8">W13-V13</f>
        <v>-212850</v>
      </c>
      <c r="Y13" s="71">
        <f>IF(W8=0,0,W13/W8)</f>
        <v>0</v>
      </c>
      <c r="Z13" s="1"/>
    </row>
    <row r="14" ht="15.0" customHeight="1">
      <c r="A14" s="1"/>
      <c r="B14" s="58" t="s">
        <v>184</v>
      </c>
      <c r="C14" s="76">
        <f>SUMIFS('freee実績'!$E:$E,'freee実績'!$B:$B,"2026-09",'freee実績'!$C:$C,"仕入高",'freee実績'!$D:$D,"包装資材・消耗品")</f>
        <v>0</v>
      </c>
      <c r="D14" s="60"/>
      <c r="E14" s="152"/>
      <c r="F14" s="1"/>
      <c r="G14" s="56" t="s">
        <v>70</v>
      </c>
      <c r="H14" s="56" t="s">
        <v>133</v>
      </c>
      <c r="I14" s="56" t="s">
        <v>147</v>
      </c>
      <c r="J14" s="56" t="s">
        <v>148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185</v>
      </c>
      <c r="V14" s="69">
        <f>'売上計画'!H47</f>
        <v>496650</v>
      </c>
      <c r="W14" s="69">
        <f>H20-C16</f>
        <v>0</v>
      </c>
      <c r="X14" s="69">
        <f t="shared" si="8"/>
        <v>-496650</v>
      </c>
      <c r="Y14" s="71">
        <f>IF(W8=0,0,W14/W8)</f>
        <v>0</v>
      </c>
      <c r="Z14" s="1"/>
    </row>
    <row r="15" ht="15.0" customHeight="1">
      <c r="A15" s="1"/>
      <c r="B15" s="58" t="s">
        <v>186</v>
      </c>
      <c r="C15" s="76">
        <f>SUMIFS('freee実績'!$E:$E,'freee実績'!$B:$B,"2026-09",'freee実績'!$C:$C,"仕入高",'freee実績'!$D:$D,"その他原価")</f>
        <v>0</v>
      </c>
      <c r="D15" s="60"/>
      <c r="E15" s="152"/>
      <c r="F15" s="1"/>
      <c r="G15" s="58" t="s">
        <v>187</v>
      </c>
      <c r="H15" s="52">
        <f>'9月日次売上'!I34</f>
        <v>0</v>
      </c>
      <c r="I15" s="60"/>
      <c r="J15" s="152"/>
      <c r="K15" s="1"/>
      <c r="L15" s="77" t="s">
        <v>188</v>
      </c>
      <c r="M15" s="46"/>
      <c r="N15" s="46"/>
      <c r="O15" s="46"/>
      <c r="P15" s="46"/>
      <c r="Q15" s="46"/>
      <c r="R15" s="46"/>
      <c r="S15" s="1"/>
      <c r="T15" s="1"/>
      <c r="U15" s="1"/>
      <c r="V15" s="70"/>
      <c r="W15" s="70"/>
      <c r="X15" s="70"/>
      <c r="Y15" s="1"/>
      <c r="Z15" s="1"/>
    </row>
    <row r="16" ht="15.0" customHeight="1">
      <c r="A16" s="1"/>
      <c r="B16" s="72" t="s">
        <v>189</v>
      </c>
      <c r="C16" s="73">
        <f>SUM(C11:C15)</f>
        <v>0</v>
      </c>
      <c r="D16" s="74"/>
      <c r="E16" s="74"/>
      <c r="F16" s="1"/>
      <c r="G16" s="58" t="s">
        <v>190</v>
      </c>
      <c r="H16" s="76"/>
      <c r="I16" s="60"/>
      <c r="J16" s="152"/>
      <c r="K16" s="1"/>
      <c r="L16" s="56" t="s">
        <v>3</v>
      </c>
      <c r="M16" s="56" t="s">
        <v>191</v>
      </c>
      <c r="N16" s="56"/>
      <c r="O16" s="56"/>
      <c r="P16" s="56"/>
      <c r="Q16" s="56"/>
      <c r="R16" s="56" t="s">
        <v>5</v>
      </c>
      <c r="S16" s="1"/>
      <c r="T16" s="1"/>
      <c r="U16" s="57" t="s">
        <v>192</v>
      </c>
      <c r="V16" s="46"/>
      <c r="W16" s="46"/>
      <c r="X16" s="46"/>
      <c r="Y16" s="46"/>
      <c r="Z16" s="1"/>
    </row>
    <row r="17" ht="15.0" customHeight="1">
      <c r="A17" s="1"/>
      <c r="B17" s="1"/>
      <c r="C17" s="1"/>
      <c r="D17" s="1"/>
      <c r="E17" s="1"/>
      <c r="F17" s="1"/>
      <c r="G17" s="58" t="s">
        <v>193</v>
      </c>
      <c r="H17" s="76"/>
      <c r="I17" s="60"/>
      <c r="J17" s="152"/>
      <c r="K17" s="1"/>
      <c r="L17" s="58" t="s">
        <v>194</v>
      </c>
      <c r="M17" s="59"/>
      <c r="N17" s="78"/>
      <c r="O17" s="78"/>
      <c r="P17" s="78"/>
      <c r="Q17" s="78"/>
      <c r="R17" s="152"/>
      <c r="S17" s="1"/>
      <c r="T17" s="1"/>
      <c r="U17" s="66" t="s">
        <v>3</v>
      </c>
      <c r="V17" s="67" t="s">
        <v>159</v>
      </c>
      <c r="W17" s="67" t="s">
        <v>160</v>
      </c>
      <c r="X17" s="67" t="s">
        <v>161</v>
      </c>
      <c r="Y17" s="1"/>
      <c r="Z17" s="1"/>
    </row>
    <row r="18" ht="15.0" customHeight="1">
      <c r="A18" s="1"/>
      <c r="B18" s="77" t="s">
        <v>195</v>
      </c>
      <c r="C18" s="46"/>
      <c r="D18" s="46"/>
      <c r="E18" s="46"/>
      <c r="F18" s="1"/>
      <c r="G18" s="72" t="s">
        <v>196</v>
      </c>
      <c r="H18" s="73">
        <f>SUM(H15:H17)</f>
        <v>0</v>
      </c>
      <c r="I18" s="74"/>
      <c r="J18" s="74"/>
      <c r="K18" s="1"/>
      <c r="L18" s="58" t="s">
        <v>197</v>
      </c>
      <c r="M18" s="59"/>
      <c r="N18" s="78"/>
      <c r="O18" s="78"/>
      <c r="P18" s="78"/>
      <c r="Q18" s="78"/>
      <c r="R18" s="152"/>
      <c r="S18" s="1"/>
      <c r="T18" s="1"/>
      <c r="U18" s="6" t="s">
        <v>198</v>
      </c>
      <c r="V18" s="69">
        <f>'売上計画'!H54</f>
        <v>45</v>
      </c>
      <c r="W18" s="69">
        <f>C24</f>
        <v>227295.4</v>
      </c>
      <c r="X18" s="69">
        <f t="shared" ref="X18:X21" si="9">W18-V18</f>
        <v>227250.4</v>
      </c>
      <c r="Y18" s="1"/>
      <c r="Z18" s="1"/>
    </row>
    <row r="19" ht="15.0" customHeight="1">
      <c r="A19" s="1"/>
      <c r="B19" s="56" t="s">
        <v>146</v>
      </c>
      <c r="C19" s="56" t="s">
        <v>133</v>
      </c>
      <c r="D19" s="56" t="s">
        <v>147</v>
      </c>
      <c r="E19" s="56" t="s">
        <v>148</v>
      </c>
      <c r="F19" s="1"/>
      <c r="G19" s="1"/>
      <c r="H19" s="1"/>
      <c r="I19" s="1"/>
      <c r="J19" s="1"/>
      <c r="K19" s="1"/>
      <c r="L19" s="58" t="s">
        <v>199</v>
      </c>
      <c r="M19" s="59"/>
      <c r="N19" s="78"/>
      <c r="O19" s="78"/>
      <c r="P19" s="78"/>
      <c r="Q19" s="78"/>
      <c r="R19" s="152"/>
      <c r="S19" s="1"/>
      <c r="T19" s="1"/>
      <c r="U19" s="6" t="s">
        <v>200</v>
      </c>
      <c r="V19" s="69">
        <f>'売上計画'!H57</f>
        <v>570</v>
      </c>
      <c r="W19" s="69">
        <f>C20+C21+C22+C23</f>
        <v>0</v>
      </c>
      <c r="X19" s="69">
        <f t="shared" si="9"/>
        <v>-570</v>
      </c>
      <c r="Y19" s="1"/>
      <c r="Z19" s="1"/>
    </row>
    <row r="20" ht="15.0" customHeight="1">
      <c r="A20" s="1"/>
      <c r="B20" s="79" t="s">
        <v>201</v>
      </c>
      <c r="C20" s="80">
        <f>SUMIFS('freee実績'!$E:$E,'freee実績'!$B:$B,"2026-09",'freee実績'!$C:$C,"地代家賃")</f>
        <v>0</v>
      </c>
      <c r="D20" s="81" t="s">
        <v>202</v>
      </c>
      <c r="E20" s="152"/>
      <c r="F20" s="1"/>
      <c r="G20" s="82" t="s">
        <v>203</v>
      </c>
      <c r="H20" s="83">
        <f>H11+H18</f>
        <v>0</v>
      </c>
      <c r="I20" s="84"/>
      <c r="J20" s="84"/>
      <c r="K20" s="1"/>
      <c r="L20" s="58" t="s">
        <v>204</v>
      </c>
      <c r="M20" s="59"/>
      <c r="N20" s="78"/>
      <c r="O20" s="78"/>
      <c r="P20" s="78"/>
      <c r="Q20" s="78"/>
      <c r="R20" s="152"/>
      <c r="S20" s="1"/>
      <c r="T20" s="1"/>
      <c r="U20" s="6" t="s">
        <v>205</v>
      </c>
      <c r="V20" s="69">
        <f>'売上計画'!H58</f>
        <v>0</v>
      </c>
      <c r="W20" s="69">
        <f>C25</f>
        <v>0</v>
      </c>
      <c r="X20" s="69">
        <f t="shared" si="9"/>
        <v>0</v>
      </c>
      <c r="Y20" s="1"/>
      <c r="Z20" s="1"/>
    </row>
    <row r="21" ht="15.0" customHeight="1">
      <c r="A21" s="1"/>
      <c r="B21" s="79" t="s">
        <v>206</v>
      </c>
      <c r="C21" s="80">
        <f>SUMIFS('freee実績'!$E:$E,'freee実績'!$B:$B,"2026-09",'freee実績'!$C:$C,"水道光熱費")</f>
        <v>0</v>
      </c>
      <c r="D21" s="81" t="s">
        <v>202</v>
      </c>
      <c r="E21" s="152"/>
      <c r="F21" s="1"/>
      <c r="G21" s="1"/>
      <c r="H21" s="1"/>
      <c r="I21" s="1"/>
      <c r="J21" s="1"/>
      <c r="K21" s="1"/>
      <c r="L21" s="72" t="s">
        <v>207</v>
      </c>
      <c r="M21" s="73">
        <f>SUM(M17:M20)</f>
        <v>0</v>
      </c>
      <c r="N21" s="74"/>
      <c r="O21" s="74"/>
      <c r="P21" s="74"/>
      <c r="Q21" s="74"/>
      <c r="R21" s="74"/>
      <c r="S21" s="1"/>
      <c r="T21" s="1"/>
      <c r="U21" s="6" t="s">
        <v>208</v>
      </c>
      <c r="V21" s="69">
        <f>'売上計画'!H59</f>
        <v>0</v>
      </c>
      <c r="W21" s="69">
        <f>C30</f>
        <v>241729.2333</v>
      </c>
      <c r="X21" s="69">
        <f t="shared" si="9"/>
        <v>241729.2333</v>
      </c>
      <c r="Y21" s="1"/>
      <c r="Z21" s="1"/>
    </row>
    <row r="22" ht="16.5" customHeight="1">
      <c r="A22" s="1"/>
      <c r="B22" s="79" t="s">
        <v>209</v>
      </c>
      <c r="C22" s="80">
        <f>SUMIFS('freee実績'!$E:$E,'freee実績'!$B:$B,"2026-09",'freee実績'!$C:$C,"通信費")</f>
        <v>0</v>
      </c>
      <c r="D22" s="81" t="s">
        <v>202</v>
      </c>
      <c r="E22" s="152"/>
      <c r="F22" s="1"/>
      <c r="G22" s="85" t="s">
        <v>210</v>
      </c>
      <c r="H22" s="46"/>
      <c r="I22" s="46"/>
      <c r="J22" s="4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0"/>
      <c r="W22" s="70"/>
      <c r="X22" s="70"/>
      <c r="Y22" s="1"/>
      <c r="Z22" s="1"/>
    </row>
    <row r="23" ht="15.0" customHeight="1">
      <c r="A23" s="1"/>
      <c r="B23" s="79" t="s">
        <v>211</v>
      </c>
      <c r="C23" s="80">
        <f>SUMIFS('freee実績'!$E:$E,'freee実績'!$B:$B,"2026-09",'freee実績'!$C:$C,"保険料")</f>
        <v>0</v>
      </c>
      <c r="D23" s="81" t="s">
        <v>202</v>
      </c>
      <c r="E23" s="152"/>
      <c r="F23" s="1"/>
      <c r="G23" s="56" t="s">
        <v>212</v>
      </c>
      <c r="H23" s="56" t="s">
        <v>213</v>
      </c>
      <c r="I23" s="56"/>
      <c r="J23" s="56" t="s">
        <v>214</v>
      </c>
      <c r="K23" s="1"/>
      <c r="L23" s="86" t="s">
        <v>215</v>
      </c>
      <c r="M23" s="87">
        <f>Q13+R13+M21</f>
        <v>0</v>
      </c>
      <c r="N23" s="88"/>
      <c r="O23" s="88"/>
      <c r="P23" s="88"/>
      <c r="Q23" s="88"/>
      <c r="R23" s="88"/>
      <c r="S23" s="1"/>
      <c r="T23" s="1"/>
      <c r="U23" s="57" t="s">
        <v>216</v>
      </c>
      <c r="V23" s="46"/>
      <c r="W23" s="46"/>
      <c r="X23" s="46"/>
      <c r="Y23" s="46"/>
      <c r="Z23" s="1"/>
    </row>
    <row r="24" ht="15.0" customHeight="1">
      <c r="A24" s="1"/>
      <c r="B24" s="58" t="s">
        <v>217</v>
      </c>
      <c r="C24" s="89">
        <f>'役員報酬・社保'!C17+'役員報酬・社保'!E17+'役員報酬・社保'!C71+'役員報酬・社保'!E71+86400</f>
        <v>227295.4</v>
      </c>
      <c r="D24" s="90" t="s">
        <v>218</v>
      </c>
      <c r="E24" s="152"/>
      <c r="F24" s="1"/>
      <c r="G24" s="58" t="s">
        <v>219</v>
      </c>
      <c r="H24" s="91">
        <f>'9月日次売上'!J34</f>
        <v>0</v>
      </c>
      <c r="I24" s="78"/>
      <c r="J24" s="92"/>
      <c r="K24" s="1"/>
      <c r="L24" s="1"/>
      <c r="M24" s="1"/>
      <c r="N24" s="1"/>
      <c r="O24" s="1"/>
      <c r="P24" s="1"/>
      <c r="Q24" s="1"/>
      <c r="R24" s="1"/>
      <c r="S24" s="1"/>
      <c r="T24" s="1"/>
      <c r="U24" s="66" t="s">
        <v>3</v>
      </c>
      <c r="V24" s="67" t="s">
        <v>159</v>
      </c>
      <c r="W24" s="67" t="s">
        <v>160</v>
      </c>
      <c r="X24" s="67" t="s">
        <v>161</v>
      </c>
      <c r="Y24" s="66" t="s">
        <v>162</v>
      </c>
      <c r="Z24" s="1"/>
    </row>
    <row r="25" ht="15.0" customHeight="1">
      <c r="A25" s="1"/>
      <c r="B25" s="58" t="s">
        <v>220</v>
      </c>
      <c r="C25" s="93">
        <f>SUMIFS('freee実績'!$E:$E,'freee実績'!$B:$B,"2026-09",'freee実績'!$C:$C,"消耗品費")</f>
        <v>0</v>
      </c>
      <c r="D25" s="90" t="s">
        <v>218</v>
      </c>
      <c r="E25" s="152"/>
      <c r="F25" s="1"/>
      <c r="G25" s="58" t="s">
        <v>173</v>
      </c>
      <c r="H25" s="65">
        <f>IF(H24=0,0,H20/H24)</f>
        <v>0</v>
      </c>
      <c r="I25" s="78"/>
      <c r="J25" s="94" t="s">
        <v>221</v>
      </c>
      <c r="K25" s="1"/>
      <c r="L25" s="95" t="s">
        <v>222</v>
      </c>
      <c r="M25" s="1"/>
      <c r="N25" s="1"/>
      <c r="O25" s="1"/>
      <c r="P25" s="1"/>
      <c r="Q25" s="1"/>
      <c r="R25" s="1"/>
      <c r="S25" s="1"/>
      <c r="T25" s="1"/>
      <c r="U25" s="6" t="s">
        <v>223</v>
      </c>
      <c r="V25" s="69" t="str">
        <f>'売上計画'!H61</f>
        <v/>
      </c>
      <c r="W25" s="69">
        <f>I39</f>
        <v>-241729.2333</v>
      </c>
      <c r="X25" s="69">
        <f t="shared" ref="X25:X26" si="10">W25-V25</f>
        <v>-241729.2333</v>
      </c>
      <c r="Y25" s="71">
        <f>IF(V25=0,0,W25/V25)</f>
        <v>0</v>
      </c>
      <c r="Z25" s="1"/>
    </row>
    <row r="26" ht="15.0" customHeight="1">
      <c r="A26" s="1"/>
      <c r="B26" s="58" t="s">
        <v>224</v>
      </c>
      <c r="C26" s="93">
        <f>SUMIFS('freee実績'!$E:$E,'freee実績'!$B:$B,"2026-09",'freee実績'!$C:$C,"広告宣伝費")</f>
        <v>0</v>
      </c>
      <c r="D26" s="90" t="s">
        <v>218</v>
      </c>
      <c r="E26" s="152"/>
      <c r="F26" s="1"/>
      <c r="G26" s="58" t="s">
        <v>225</v>
      </c>
      <c r="H26" s="63">
        <v>30.0</v>
      </c>
      <c r="I26" s="78"/>
      <c r="J26" s="92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226</v>
      </c>
      <c r="V26" s="71">
        <f>'売上計画'!H62</f>
        <v>316650</v>
      </c>
      <c r="W26" s="71">
        <f>IF(W8=0,0,W25/W8)</f>
        <v>0</v>
      </c>
      <c r="X26" s="71">
        <f t="shared" si="10"/>
        <v>-316650</v>
      </c>
      <c r="Y26" s="1"/>
      <c r="Z26" s="1"/>
    </row>
    <row r="27" ht="15.0" customHeight="1">
      <c r="A27" s="1"/>
      <c r="B27" s="58" t="s">
        <v>227</v>
      </c>
      <c r="C27" s="93">
        <f>SUMIFS('freee実績'!$E:$E,'freee実績'!$B:$B,"2026-09",'freee実績'!$C:$C,"修繕費")</f>
        <v>0</v>
      </c>
      <c r="D27" s="90" t="s">
        <v>218</v>
      </c>
      <c r="E27" s="152"/>
      <c r="F27" s="1"/>
      <c r="G27" s="58" t="s">
        <v>228</v>
      </c>
      <c r="H27" s="65">
        <f>IF(H26=0,0,H20/H26)</f>
        <v>0</v>
      </c>
      <c r="I27" s="78"/>
      <c r="J27" s="94" t="s">
        <v>229</v>
      </c>
      <c r="K27" s="1"/>
      <c r="L27" s="85" t="s">
        <v>230</v>
      </c>
      <c r="M27" s="46"/>
      <c r="N27" s="46"/>
      <c r="O27" s="46"/>
      <c r="P27" s="46"/>
      <c r="Q27" s="46"/>
      <c r="R27" s="46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8" t="s">
        <v>231</v>
      </c>
      <c r="C28" s="93">
        <f>SUMIFS('freee実績'!$E:$E,'freee実績'!$B:$B,"2026-09",'freee実績'!$C:$C,"雑費")</f>
        <v>0</v>
      </c>
      <c r="D28" s="90" t="s">
        <v>218</v>
      </c>
      <c r="E28" s="152"/>
      <c r="F28" s="1"/>
      <c r="G28" s="58" t="s">
        <v>179</v>
      </c>
      <c r="H28" s="96">
        <f>IF(H20=0,0,C16/H20)</f>
        <v>0</v>
      </c>
      <c r="I28" s="78"/>
      <c r="J28" s="94" t="s">
        <v>232</v>
      </c>
      <c r="K28" s="1"/>
      <c r="L28" s="56" t="s">
        <v>212</v>
      </c>
      <c r="M28" s="56" t="s">
        <v>213</v>
      </c>
      <c r="N28" s="56"/>
      <c r="O28" s="56"/>
      <c r="P28" s="56"/>
      <c r="Q28" s="56"/>
      <c r="R28" s="56" t="s">
        <v>214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97" t="s">
        <v>233</v>
      </c>
      <c r="C29" s="98">
        <f>'固定資産台帳'!Q26</f>
        <v>14433.83333</v>
      </c>
      <c r="D29" s="99" t="s">
        <v>234</v>
      </c>
      <c r="E29" s="152"/>
      <c r="F29" s="1"/>
      <c r="G29" s="1"/>
      <c r="H29" s="1"/>
      <c r="I29" s="1"/>
      <c r="J29" s="1"/>
      <c r="K29" s="1"/>
      <c r="L29" s="58" t="s">
        <v>235</v>
      </c>
      <c r="M29" s="96">
        <f>IF(H20=0,0,M23/H20)</f>
        <v>0</v>
      </c>
      <c r="N29" s="78"/>
      <c r="O29" s="78"/>
      <c r="P29" s="78"/>
      <c r="Q29" s="78"/>
      <c r="R29" s="94" t="s">
        <v>236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2" t="s">
        <v>237</v>
      </c>
      <c r="C30" s="73">
        <f>SUM(C20:C29)</f>
        <v>241729.2333</v>
      </c>
      <c r="D30" s="74"/>
      <c r="E30" s="74"/>
      <c r="F30" s="1"/>
      <c r="G30" s="1"/>
      <c r="H30" s="1"/>
      <c r="I30" s="1"/>
      <c r="J30" s="1"/>
      <c r="K30" s="1"/>
      <c r="L30" s="58" t="s">
        <v>238</v>
      </c>
      <c r="M30" s="65">
        <f>IF((SUM(N5:N12)*SUM(O5:O12))=0,0,H20/(SUM(N5:N12)*SUM(O5:O12)))</f>
        <v>0</v>
      </c>
      <c r="N30" s="78"/>
      <c r="O30" s="78"/>
      <c r="P30" s="78"/>
      <c r="Q30" s="78"/>
      <c r="R30" s="94" t="s">
        <v>239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77" t="s">
        <v>240</v>
      </c>
      <c r="C32" s="46"/>
      <c r="D32" s="46"/>
      <c r="E32" s="46"/>
      <c r="F32" s="100"/>
      <c r="G32" s="53" t="s">
        <v>241</v>
      </c>
      <c r="H32" s="46"/>
      <c r="I32" s="46"/>
      <c r="J32" s="46"/>
      <c r="K32" s="1"/>
      <c r="L32" s="101" t="s">
        <v>242</v>
      </c>
      <c r="M32" s="46"/>
      <c r="N32" s="46"/>
      <c r="O32" s="46"/>
      <c r="P32" s="46"/>
      <c r="Q32" s="46"/>
      <c r="R32" s="46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6" t="s">
        <v>146</v>
      </c>
      <c r="C33" s="56" t="s">
        <v>243</v>
      </c>
      <c r="D33" s="56" t="s">
        <v>160</v>
      </c>
      <c r="E33" s="102" t="s">
        <v>244</v>
      </c>
      <c r="F33" s="56" t="s">
        <v>148</v>
      </c>
      <c r="G33" s="56"/>
      <c r="H33" s="56" t="s">
        <v>3</v>
      </c>
      <c r="I33" s="56" t="s">
        <v>133</v>
      </c>
      <c r="J33" s="56"/>
      <c r="K33" s="1"/>
      <c r="L33" s="95" t="s">
        <v>245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58" t="s">
        <v>294</v>
      </c>
      <c r="C34" s="76"/>
      <c r="D34" s="59"/>
      <c r="E34" s="65">
        <f t="shared" ref="E34:E54" si="11">C34-D34</f>
        <v>0</v>
      </c>
      <c r="F34" s="109"/>
      <c r="G34" s="78"/>
      <c r="H34" s="106" t="s">
        <v>246</v>
      </c>
      <c r="I34" s="65">
        <f>H20</f>
        <v>0</v>
      </c>
      <c r="J34" s="78"/>
      <c r="K34" s="1"/>
      <c r="L34" s="107" t="s">
        <v>247</v>
      </c>
      <c r="M34" s="108" t="s">
        <v>248</v>
      </c>
      <c r="N34" s="95" t="s">
        <v>249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58" t="s">
        <v>295</v>
      </c>
      <c r="C35" s="76"/>
      <c r="D35" s="59"/>
      <c r="E35" s="65">
        <f t="shared" si="11"/>
        <v>0</v>
      </c>
      <c r="F35" s="109"/>
      <c r="G35" s="78"/>
      <c r="H35" s="106" t="s">
        <v>183</v>
      </c>
      <c r="I35" s="65">
        <f>C16</f>
        <v>0</v>
      </c>
      <c r="J35" s="78"/>
      <c r="K35" s="1"/>
      <c r="L35" s="58" t="s">
        <v>250</v>
      </c>
      <c r="M35" s="52">
        <f>M23</f>
        <v>0</v>
      </c>
      <c r="N35" s="110" t="s">
        <v>251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58" t="s">
        <v>296</v>
      </c>
      <c r="C36" s="76"/>
      <c r="D36" s="59"/>
      <c r="E36" s="65">
        <f t="shared" si="11"/>
        <v>0</v>
      </c>
      <c r="F36" s="109"/>
      <c r="G36" s="78"/>
      <c r="H36" s="106" t="s">
        <v>185</v>
      </c>
      <c r="I36" s="65">
        <f>I34-I35</f>
        <v>0</v>
      </c>
      <c r="J36" s="78"/>
      <c r="K36" s="1"/>
      <c r="L36" s="58" t="s">
        <v>252</v>
      </c>
      <c r="M36" s="65">
        <f>IF(M34="支払い",M35,0)</f>
        <v>0</v>
      </c>
      <c r="N36" s="95" t="s">
        <v>253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0"/>
      <c r="C37" s="76"/>
      <c r="D37" s="59"/>
      <c r="E37" s="65">
        <f t="shared" si="11"/>
        <v>0</v>
      </c>
      <c r="F37" s="109"/>
      <c r="G37" s="78"/>
      <c r="H37" s="106" t="s">
        <v>254</v>
      </c>
      <c r="I37" s="96">
        <f>IF(I34=0,0,I36/I34)</f>
        <v>0</v>
      </c>
      <c r="J37" s="78"/>
      <c r="K37" s="1"/>
      <c r="L37" s="111" t="s">
        <v>255</v>
      </c>
      <c r="M37" s="112">
        <f>M35-M36</f>
        <v>0</v>
      </c>
      <c r="N37" s="95" t="s">
        <v>256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3"/>
      <c r="C38" s="76"/>
      <c r="D38" s="59"/>
      <c r="E38" s="65">
        <f t="shared" si="11"/>
        <v>0</v>
      </c>
      <c r="F38" s="109"/>
      <c r="G38" s="78"/>
      <c r="H38" s="106" t="s">
        <v>208</v>
      </c>
      <c r="I38" s="65">
        <f>C30</f>
        <v>241729.2333</v>
      </c>
      <c r="J38" s="78"/>
      <c r="K38" s="1"/>
      <c r="L38" s="58" t="s">
        <v>257</v>
      </c>
      <c r="M38" s="52">
        <f>'8月'!M39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0"/>
      <c r="C39" s="76"/>
      <c r="D39" s="59"/>
      <c r="E39" s="65">
        <f t="shared" si="11"/>
        <v>0</v>
      </c>
      <c r="F39" s="109"/>
      <c r="G39" s="78"/>
      <c r="H39" s="113" t="s">
        <v>223</v>
      </c>
      <c r="I39" s="114">
        <f>I36-I38</f>
        <v>-241729.2333</v>
      </c>
      <c r="J39" s="115"/>
      <c r="K39" s="1"/>
      <c r="L39" s="116" t="s">
        <v>258</v>
      </c>
      <c r="M39" s="117">
        <f>M38+M37</f>
        <v>0</v>
      </c>
      <c r="N39" s="95" t="s">
        <v>259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3"/>
      <c r="C40" s="76"/>
      <c r="D40" s="59"/>
      <c r="E40" s="65">
        <f t="shared" si="11"/>
        <v>0</v>
      </c>
      <c r="F40" s="109"/>
      <c r="G40" s="118"/>
      <c r="H40" s="118"/>
      <c r="I40" s="118"/>
      <c r="J40" s="1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0"/>
      <c r="C41" s="76"/>
      <c r="D41" s="59"/>
      <c r="E41" s="65">
        <f t="shared" si="11"/>
        <v>0</v>
      </c>
      <c r="F41" s="109"/>
      <c r="G41" s="118"/>
      <c r="H41" s="118"/>
      <c r="I41" s="118"/>
      <c r="J41" s="118"/>
      <c r="K41" s="1"/>
      <c r="L41" s="58" t="s">
        <v>260</v>
      </c>
      <c r="M41" s="59"/>
      <c r="N41" s="95" t="s">
        <v>261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3"/>
      <c r="C42" s="76"/>
      <c r="D42" s="59"/>
      <c r="E42" s="65">
        <f t="shared" si="11"/>
        <v>0</v>
      </c>
      <c r="F42" s="109"/>
      <c r="G42" s="118"/>
      <c r="H42" s="118"/>
      <c r="I42" s="118"/>
      <c r="J42" s="1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0"/>
      <c r="C43" s="76"/>
      <c r="D43" s="59"/>
      <c r="E43" s="65">
        <f t="shared" si="11"/>
        <v>0</v>
      </c>
      <c r="F43" s="109"/>
      <c r="G43" s="118"/>
      <c r="H43" s="118"/>
      <c r="I43" s="118"/>
      <c r="J43" s="1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3"/>
      <c r="C44" s="76"/>
      <c r="D44" s="59"/>
      <c r="E44" s="65">
        <f t="shared" si="11"/>
        <v>0</v>
      </c>
      <c r="F44" s="109"/>
      <c r="G44" s="118"/>
      <c r="H44" s="118"/>
      <c r="I44" s="118"/>
      <c r="J44" s="1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0"/>
      <c r="C45" s="76"/>
      <c r="D45" s="59"/>
      <c r="E45" s="65">
        <f t="shared" si="11"/>
        <v>0</v>
      </c>
      <c r="F45" s="109"/>
      <c r="G45" s="118"/>
      <c r="H45" s="118"/>
      <c r="I45" s="118"/>
      <c r="J45" s="1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3"/>
      <c r="C46" s="76"/>
      <c r="D46" s="59"/>
      <c r="E46" s="65">
        <f t="shared" si="11"/>
        <v>0</v>
      </c>
      <c r="F46" s="109"/>
      <c r="G46" s="118"/>
      <c r="H46" s="118"/>
      <c r="I46" s="118"/>
      <c r="J46" s="1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0"/>
      <c r="C47" s="76"/>
      <c r="D47" s="59"/>
      <c r="E47" s="65">
        <f t="shared" si="11"/>
        <v>0</v>
      </c>
      <c r="F47" s="109"/>
      <c r="G47" s="118"/>
      <c r="H47" s="118"/>
      <c r="I47" s="118"/>
      <c r="J47" s="1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3"/>
      <c r="C48" s="76"/>
      <c r="D48" s="59"/>
      <c r="E48" s="65">
        <f t="shared" si="11"/>
        <v>0</v>
      </c>
      <c r="F48" s="109"/>
      <c r="G48" s="118"/>
      <c r="H48" s="118"/>
      <c r="I48" s="118"/>
      <c r="J48" s="1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0"/>
      <c r="C49" s="76"/>
      <c r="D49" s="59"/>
      <c r="E49" s="65">
        <f t="shared" si="11"/>
        <v>0</v>
      </c>
      <c r="F49" s="109"/>
      <c r="G49" s="118"/>
      <c r="H49" s="118"/>
      <c r="I49" s="118"/>
      <c r="J49" s="1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3"/>
      <c r="C50" s="76"/>
      <c r="D50" s="59"/>
      <c r="E50" s="65">
        <f t="shared" si="11"/>
        <v>0</v>
      </c>
      <c r="F50" s="109"/>
      <c r="G50" s="118"/>
      <c r="H50" s="118"/>
      <c r="I50" s="118"/>
      <c r="J50" s="1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0"/>
      <c r="C51" s="76"/>
      <c r="D51" s="59"/>
      <c r="E51" s="65">
        <f t="shared" si="11"/>
        <v>0</v>
      </c>
      <c r="F51" s="109"/>
      <c r="G51" s="118"/>
      <c r="H51" s="118"/>
      <c r="I51" s="118"/>
      <c r="J51" s="1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3"/>
      <c r="C52" s="76"/>
      <c r="D52" s="59"/>
      <c r="E52" s="65">
        <f t="shared" si="11"/>
        <v>0</v>
      </c>
      <c r="F52" s="109"/>
      <c r="G52" s="118"/>
      <c r="H52" s="118"/>
      <c r="I52" s="118"/>
      <c r="J52" s="1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0"/>
      <c r="C53" s="76"/>
      <c r="D53" s="59"/>
      <c r="E53" s="65">
        <f t="shared" si="11"/>
        <v>0</v>
      </c>
      <c r="F53" s="109"/>
      <c r="G53" s="118"/>
      <c r="H53" s="118"/>
      <c r="I53" s="118"/>
      <c r="J53" s="1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2" t="s">
        <v>262</v>
      </c>
      <c r="C54" s="73">
        <f t="shared" ref="C54:D54" si="12">SUM(C34:C53)</f>
        <v>0</v>
      </c>
      <c r="D54" s="73">
        <f t="shared" si="12"/>
        <v>0</v>
      </c>
      <c r="E54" s="73">
        <f t="shared" si="11"/>
        <v>0</v>
      </c>
      <c r="F54" s="74"/>
      <c r="G54" s="118"/>
      <c r="H54" s="119"/>
      <c r="I54" s="120"/>
      <c r="J54" s="1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18"/>
      <c r="H55" s="119"/>
      <c r="I55" s="121"/>
      <c r="J55" s="1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2" t="s">
        <v>263</v>
      </c>
      <c r="C56" s="123">
        <f>C16+C30+D54</f>
        <v>241729.2333</v>
      </c>
      <c r="D56" s="124"/>
      <c r="E56" s="124"/>
      <c r="F56" s="1"/>
      <c r="G56" s="118"/>
      <c r="H56" s="119"/>
      <c r="I56" s="121"/>
      <c r="J56" s="1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18"/>
      <c r="H57" s="118"/>
      <c r="I57" s="118"/>
      <c r="J57" s="1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5" t="s">
        <v>264</v>
      </c>
      <c r="H58" s="46"/>
      <c r="I58" s="46"/>
      <c r="J58" s="4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6"/>
      <c r="H59" s="56" t="s">
        <v>3</v>
      </c>
      <c r="I59" s="56" t="s">
        <v>133</v>
      </c>
      <c r="J59" s="5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6"/>
      <c r="H60" s="127" t="s">
        <v>223</v>
      </c>
      <c r="I60" s="128">
        <f>I39</f>
        <v>-241729.2333</v>
      </c>
      <c r="J60" s="12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6"/>
      <c r="H61" s="127" t="s">
        <v>265</v>
      </c>
      <c r="I61" s="130">
        <f>C29</f>
        <v>14433.83333</v>
      </c>
      <c r="J61" s="131" t="s">
        <v>266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2"/>
      <c r="H62" s="72" t="s">
        <v>267</v>
      </c>
      <c r="I62" s="73">
        <f>I60+I61+M37-M41</f>
        <v>-227295.4</v>
      </c>
      <c r="J62" s="133" t="s">
        <v>268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18"/>
      <c r="H63" s="118"/>
      <c r="I63" s="118"/>
      <c r="J63" s="1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6"/>
      <c r="H64" s="127" t="s">
        <v>269</v>
      </c>
      <c r="I64" s="130">
        <f>D54</f>
        <v>0</v>
      </c>
      <c r="J64" s="131" t="s">
        <v>270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2"/>
      <c r="H65" s="72" t="s">
        <v>271</v>
      </c>
      <c r="I65" s="73">
        <f>-I64</f>
        <v>0</v>
      </c>
      <c r="J65" s="133" t="s">
        <v>272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18"/>
      <c r="H66" s="118"/>
      <c r="I66" s="118"/>
      <c r="J66" s="1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6"/>
      <c r="H67" s="127" t="s">
        <v>273</v>
      </c>
      <c r="I67" s="130">
        <f>C6</f>
        <v>1000000</v>
      </c>
      <c r="J67" s="12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2"/>
      <c r="H68" s="72" t="s">
        <v>274</v>
      </c>
      <c r="I68" s="73">
        <f>I67</f>
        <v>1000000</v>
      </c>
      <c r="J68" s="1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18"/>
      <c r="H69" s="118"/>
      <c r="I69" s="118"/>
      <c r="J69" s="1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3" t="s">
        <v>275</v>
      </c>
      <c r="H70" s="46"/>
      <c r="I70" s="46"/>
      <c r="J70" s="4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4"/>
      <c r="H71" s="58" t="s">
        <v>276</v>
      </c>
      <c r="I71" s="89">
        <f>C5</f>
        <v>956398.6</v>
      </c>
      <c r="J71" s="13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4"/>
      <c r="H72" s="58" t="s">
        <v>277</v>
      </c>
      <c r="I72" s="104">
        <f>I62</f>
        <v>-227295.4</v>
      </c>
      <c r="J72" s="13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4"/>
      <c r="H73" s="58" t="s">
        <v>278</v>
      </c>
      <c r="I73" s="104">
        <f>I65</f>
        <v>0</v>
      </c>
      <c r="J73" s="1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4"/>
      <c r="H74" s="58" t="s">
        <v>279</v>
      </c>
      <c r="I74" s="104">
        <f>I68</f>
        <v>1000000</v>
      </c>
      <c r="J74" s="1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6"/>
      <c r="H75" s="137" t="s">
        <v>280</v>
      </c>
      <c r="I75" s="138">
        <f>I71+I72+I73+I74</f>
        <v>1729103.2</v>
      </c>
      <c r="J75" s="139" t="s">
        <v>281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18"/>
      <c r="H76" s="118"/>
      <c r="I76" s="118"/>
      <c r="J76" s="1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18"/>
      <c r="H77" s="95" t="s">
        <v>282</v>
      </c>
      <c r="I77" s="118"/>
      <c r="J77" s="1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4"/>
      <c r="H78" s="140" t="s">
        <v>283</v>
      </c>
      <c r="I78" s="141">
        <f>I39</f>
        <v>-241729.2333</v>
      </c>
      <c r="J78" s="1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4"/>
      <c r="H79" s="140" t="s">
        <v>284</v>
      </c>
      <c r="I79" s="141">
        <f>I72+I73+I74</f>
        <v>772704.6</v>
      </c>
      <c r="J79" s="1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2"/>
      <c r="H80" s="143" t="s">
        <v>285</v>
      </c>
      <c r="I80" s="144">
        <f>I79-I78</f>
        <v>1014433.833</v>
      </c>
      <c r="J80" s="143" t="s">
        <v>286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18"/>
      <c r="H81" s="118"/>
      <c r="I81" s="118"/>
      <c r="J81" s="1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6"/>
      <c r="H82" s="145" t="s">
        <v>287</v>
      </c>
      <c r="I82" s="146">
        <f>I75</f>
        <v>1729103.2</v>
      </c>
      <c r="J82" s="147" t="s">
        <v>288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48"/>
      <c r="H83" s="149" t="s">
        <v>289</v>
      </c>
      <c r="I83" s="150">
        <f>I75-M37</f>
        <v>1729103.2</v>
      </c>
      <c r="J83" s="151" t="s">
        <v>290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18"/>
      <c r="H84" s="118"/>
      <c r="I84" s="118"/>
      <c r="J84" s="1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4" t="s">
        <v>334</v>
      </c>
      <c r="K1" s="1"/>
      <c r="L1" s="1"/>
      <c r="M1" s="1"/>
      <c r="N1" s="1"/>
      <c r="O1" s="1"/>
      <c r="P1" s="1"/>
      <c r="Q1" s="1"/>
      <c r="R1" s="1"/>
      <c r="S1" s="1"/>
      <c r="T1" s="1"/>
      <c r="U1" s="45" t="s">
        <v>137</v>
      </c>
      <c r="V1" s="46"/>
      <c r="W1" s="46"/>
      <c r="X1" s="46"/>
      <c r="Y1" s="46"/>
      <c r="Z1" s="1"/>
    </row>
    <row r="2" ht="21.0" customHeight="1">
      <c r="A2" s="1"/>
      <c r="B2" s="47" t="s">
        <v>138</v>
      </c>
      <c r="C2" s="48">
        <f>I75</f>
        <v>1431360.1</v>
      </c>
      <c r="D2" s="1"/>
      <c r="E2" s="49" t="s">
        <v>139</v>
      </c>
      <c r="F2" s="50">
        <f>C16+SUM(C20:C23)+SUM(C25:C28)+M36+D54+M41</f>
        <v>0</v>
      </c>
      <c r="G2" s="1"/>
      <c r="H2" s="49" t="s">
        <v>140</v>
      </c>
      <c r="I2" s="51">
        <f>I39</f>
        <v>-312176.9333</v>
      </c>
      <c r="J2" s="1"/>
      <c r="K2" s="1"/>
      <c r="L2" s="47" t="s">
        <v>141</v>
      </c>
      <c r="M2" s="52">
        <f>'11月'!C20+'11月'!C21+'11月'!C22+'11月'!C23+'11月'!C25</f>
        <v>0</v>
      </c>
      <c r="N2" s="1"/>
      <c r="O2" s="1"/>
      <c r="P2" s="1"/>
      <c r="Q2" s="1"/>
      <c r="R2" s="1"/>
      <c r="S2" s="1"/>
      <c r="T2" s="1"/>
      <c r="U2" s="3" t="s">
        <v>142</v>
      </c>
      <c r="Z2" s="1"/>
    </row>
    <row r="3" ht="15.0" customHeight="1">
      <c r="A3" s="1"/>
      <c r="B3" s="53" t="s">
        <v>143</v>
      </c>
      <c r="C3" s="46"/>
      <c r="D3" s="46"/>
      <c r="E3" s="46"/>
      <c r="F3" s="1"/>
      <c r="G3" s="54" t="s">
        <v>144</v>
      </c>
      <c r="H3" s="46"/>
      <c r="I3" s="46"/>
      <c r="J3" s="46"/>
      <c r="K3" s="1"/>
      <c r="L3" s="55" t="s">
        <v>145</v>
      </c>
      <c r="M3" s="46"/>
      <c r="N3" s="46"/>
      <c r="O3" s="46"/>
      <c r="P3" s="46"/>
      <c r="Q3" s="46"/>
      <c r="R3" s="46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6" t="s">
        <v>146</v>
      </c>
      <c r="C4" s="56" t="s">
        <v>133</v>
      </c>
      <c r="D4" s="56" t="s">
        <v>147</v>
      </c>
      <c r="E4" s="56" t="s">
        <v>148</v>
      </c>
      <c r="F4" s="1"/>
      <c r="G4" s="56" t="s">
        <v>70</v>
      </c>
      <c r="H4" s="56" t="s">
        <v>133</v>
      </c>
      <c r="I4" s="56" t="s">
        <v>147</v>
      </c>
      <c r="J4" s="56" t="s">
        <v>148</v>
      </c>
      <c r="K4" s="1"/>
      <c r="L4" s="56" t="s">
        <v>149</v>
      </c>
      <c r="M4" s="56" t="s">
        <v>150</v>
      </c>
      <c r="N4" s="56" t="s">
        <v>151</v>
      </c>
      <c r="O4" s="56" t="s">
        <v>152</v>
      </c>
      <c r="P4" s="56" t="s">
        <v>153</v>
      </c>
      <c r="Q4" s="56" t="s">
        <v>154</v>
      </c>
      <c r="R4" s="56" t="s">
        <v>155</v>
      </c>
      <c r="S4" s="1"/>
      <c r="T4" s="1"/>
      <c r="U4" s="57" t="s">
        <v>156</v>
      </c>
      <c r="V4" s="46"/>
      <c r="W4" s="46"/>
      <c r="X4" s="46"/>
      <c r="Y4" s="46"/>
      <c r="Z4" s="1"/>
    </row>
    <row r="5" ht="15.0" customHeight="1">
      <c r="A5" s="1"/>
      <c r="B5" s="58" t="s">
        <v>292</v>
      </c>
      <c r="C5" s="52">
        <f>'9月'!I75</f>
        <v>1729103.2</v>
      </c>
      <c r="D5" s="60"/>
      <c r="E5" s="152"/>
      <c r="F5" s="1"/>
      <c r="G5" s="58" t="s">
        <v>158</v>
      </c>
      <c r="H5" s="52">
        <f>'10月日次売上'!C35</f>
        <v>0</v>
      </c>
      <c r="I5" s="60"/>
      <c r="J5" s="152"/>
      <c r="K5" s="1"/>
      <c r="L5" s="60"/>
      <c r="M5" s="59"/>
      <c r="N5" s="63"/>
      <c r="O5" s="64"/>
      <c r="P5" s="59"/>
      <c r="Q5" s="65">
        <f t="shared" ref="Q5:Q12" si="1">M5*N5*O5</f>
        <v>0</v>
      </c>
      <c r="R5" s="65">
        <f t="shared" ref="R5:R12" si="2">P5*N5</f>
        <v>0</v>
      </c>
      <c r="S5" s="1"/>
      <c r="T5" s="1"/>
      <c r="U5" s="66" t="s">
        <v>3</v>
      </c>
      <c r="V5" s="67" t="s">
        <v>159</v>
      </c>
      <c r="W5" s="67" t="s">
        <v>160</v>
      </c>
      <c r="X5" s="67" t="s">
        <v>161</v>
      </c>
      <c r="Y5" s="66" t="s">
        <v>162</v>
      </c>
      <c r="Z5" s="1"/>
    </row>
    <row r="6" ht="15.0" customHeight="1">
      <c r="A6" s="1"/>
      <c r="B6" s="58" t="s">
        <v>163</v>
      </c>
      <c r="C6" s="59"/>
      <c r="D6" s="60"/>
      <c r="E6" s="152"/>
      <c r="F6" s="1"/>
      <c r="G6" s="58" t="s">
        <v>164</v>
      </c>
      <c r="H6" s="52">
        <f>'10月日次売上'!D35</f>
        <v>0</v>
      </c>
      <c r="I6" s="60"/>
      <c r="J6" s="152"/>
      <c r="K6" s="1"/>
      <c r="L6" s="60"/>
      <c r="M6" s="59"/>
      <c r="N6" s="63"/>
      <c r="O6" s="64"/>
      <c r="P6" s="59"/>
      <c r="Q6" s="65">
        <f t="shared" si="1"/>
        <v>0</v>
      </c>
      <c r="R6" s="65">
        <f t="shared" si="2"/>
        <v>0</v>
      </c>
      <c r="S6" s="1"/>
      <c r="T6" s="1"/>
      <c r="U6" s="6" t="s">
        <v>165</v>
      </c>
      <c r="V6" s="69">
        <f>'売上計画'!I38</f>
        <v>16</v>
      </c>
      <c r="W6" s="70">
        <f>IF(H26=0,"",H24/H26/2)</f>
        <v>0</v>
      </c>
      <c r="X6" s="69">
        <f t="shared" ref="X6:X7" si="3">IF(W6="",0,W6-V6)</f>
        <v>-16</v>
      </c>
      <c r="Y6" s="71">
        <f t="shared" ref="Y6:Y7" si="4">IF(OR(W6="",V6=0),0,W6/V6)</f>
        <v>0</v>
      </c>
      <c r="Z6" s="1"/>
    </row>
    <row r="7" ht="15.0" customHeight="1">
      <c r="A7" s="1"/>
      <c r="B7" s="72" t="s">
        <v>166</v>
      </c>
      <c r="C7" s="73">
        <f>SUM(C5:C6)</f>
        <v>1729103.2</v>
      </c>
      <c r="D7" s="74"/>
      <c r="E7" s="74"/>
      <c r="F7" s="1"/>
      <c r="G7" s="58" t="s">
        <v>167</v>
      </c>
      <c r="H7" s="52">
        <f>'10月日次売上'!E35</f>
        <v>0</v>
      </c>
      <c r="I7" s="60"/>
      <c r="J7" s="152"/>
      <c r="K7" s="1"/>
      <c r="L7" s="60"/>
      <c r="M7" s="59"/>
      <c r="N7" s="63"/>
      <c r="O7" s="64"/>
      <c r="P7" s="59"/>
      <c r="Q7" s="65">
        <f t="shared" si="1"/>
        <v>0</v>
      </c>
      <c r="R7" s="65">
        <f t="shared" si="2"/>
        <v>0</v>
      </c>
      <c r="S7" s="1"/>
      <c r="T7" s="1"/>
      <c r="U7" s="6" t="s">
        <v>168</v>
      </c>
      <c r="V7" s="69">
        <f>'売上計画'!I39</f>
        <v>12</v>
      </c>
      <c r="W7" s="70">
        <f>IF(H26=0,"",H24/H26/2)</f>
        <v>0</v>
      </c>
      <c r="X7" s="69">
        <f t="shared" si="3"/>
        <v>-12</v>
      </c>
      <c r="Y7" s="71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58" t="s">
        <v>169</v>
      </c>
      <c r="H8" s="52">
        <f>'10月日次売上'!F35</f>
        <v>0</v>
      </c>
      <c r="I8" s="60"/>
      <c r="J8" s="152"/>
      <c r="K8" s="1"/>
      <c r="L8" s="60"/>
      <c r="M8" s="59"/>
      <c r="N8" s="63"/>
      <c r="O8" s="64"/>
      <c r="P8" s="59"/>
      <c r="Q8" s="65">
        <f t="shared" si="1"/>
        <v>0</v>
      </c>
      <c r="R8" s="65">
        <f t="shared" si="2"/>
        <v>0</v>
      </c>
      <c r="S8" s="1"/>
      <c r="T8" s="1"/>
      <c r="U8" s="6" t="s">
        <v>170</v>
      </c>
      <c r="V8" s="69">
        <f>'売上計画'!I45</f>
        <v>1091200</v>
      </c>
      <c r="W8" s="69">
        <f>H20</f>
        <v>0</v>
      </c>
      <c r="X8" s="69">
        <f t="shared" ref="X8:X9" si="5">W8-V8</f>
        <v>-1091200</v>
      </c>
      <c r="Y8" s="71">
        <f t="shared" ref="Y8:Y9" si="6">IF(V8=0,0,W8/V8)</f>
        <v>0</v>
      </c>
      <c r="Z8" s="1"/>
    </row>
    <row r="9" ht="15.0" customHeight="1">
      <c r="A9" s="1"/>
      <c r="B9" s="75" t="s">
        <v>171</v>
      </c>
      <c r="C9" s="46"/>
      <c r="D9" s="46"/>
      <c r="E9" s="46"/>
      <c r="F9" s="1"/>
      <c r="G9" s="58" t="s">
        <v>172</v>
      </c>
      <c r="H9" s="52">
        <f>'10月日次売上'!G35</f>
        <v>0</v>
      </c>
      <c r="I9" s="60"/>
      <c r="J9" s="152"/>
      <c r="K9" s="1"/>
      <c r="L9" s="60"/>
      <c r="M9" s="59"/>
      <c r="N9" s="63"/>
      <c r="O9" s="64"/>
      <c r="P9" s="59"/>
      <c r="Q9" s="65">
        <f t="shared" si="1"/>
        <v>0</v>
      </c>
      <c r="R9" s="65">
        <f t="shared" si="2"/>
        <v>0</v>
      </c>
      <c r="S9" s="1"/>
      <c r="T9" s="1"/>
      <c r="U9" s="6" t="s">
        <v>173</v>
      </c>
      <c r="V9" s="69">
        <f>IF((V6*'売上計画'!$C$7+V7*'売上計画'!$C$8)=0,0,V8/(V6*'売上計画'!$C$7+V7*'売上計画'!$C$8))</f>
        <v>1299.047619</v>
      </c>
      <c r="W9" s="69">
        <f>H25</f>
        <v>0</v>
      </c>
      <c r="X9" s="69">
        <f t="shared" si="5"/>
        <v>-1299.047619</v>
      </c>
      <c r="Y9" s="71">
        <f t="shared" si="6"/>
        <v>0</v>
      </c>
      <c r="Z9" s="1"/>
    </row>
    <row r="10" ht="15.0" customHeight="1">
      <c r="A10" s="1"/>
      <c r="B10" s="56" t="s">
        <v>146</v>
      </c>
      <c r="C10" s="56" t="s">
        <v>133</v>
      </c>
      <c r="D10" s="56" t="s">
        <v>147</v>
      </c>
      <c r="E10" s="56" t="s">
        <v>148</v>
      </c>
      <c r="F10" s="1"/>
      <c r="G10" s="58" t="s">
        <v>174</v>
      </c>
      <c r="H10" s="52">
        <f>'10月日次売上'!H35</f>
        <v>0</v>
      </c>
      <c r="I10" s="60"/>
      <c r="J10" s="152"/>
      <c r="K10" s="1"/>
      <c r="L10" s="60"/>
      <c r="M10" s="59"/>
      <c r="N10" s="63"/>
      <c r="O10" s="64"/>
      <c r="P10" s="59"/>
      <c r="Q10" s="65">
        <f t="shared" si="1"/>
        <v>0</v>
      </c>
      <c r="R10" s="65">
        <f t="shared" si="2"/>
        <v>0</v>
      </c>
      <c r="S10" s="1"/>
      <c r="T10" s="1"/>
      <c r="U10" s="1"/>
      <c r="V10" s="70"/>
      <c r="W10" s="70"/>
      <c r="X10" s="70"/>
      <c r="Y10" s="1"/>
      <c r="Z10" s="1"/>
    </row>
    <row r="11" ht="15.0" customHeight="1">
      <c r="A11" s="1"/>
      <c r="B11" s="58" t="s">
        <v>175</v>
      </c>
      <c r="C11" s="76">
        <f>SUMIFS('freee実績'!$E:$E,'freee実績'!$B:$B,"2026-10",'freee実績'!$C:$C,"仕入高",'freee実績'!$D:$D,"コーヒー豆・茶葉")</f>
        <v>0</v>
      </c>
      <c r="D11" s="60"/>
      <c r="E11" s="152"/>
      <c r="F11" s="1"/>
      <c r="G11" s="72" t="s">
        <v>176</v>
      </c>
      <c r="H11" s="73">
        <f>SUM(H5:H10)</f>
        <v>0</v>
      </c>
      <c r="I11" s="74"/>
      <c r="J11" s="74"/>
      <c r="K11" s="1"/>
      <c r="L11" s="60"/>
      <c r="M11" s="59"/>
      <c r="N11" s="63"/>
      <c r="O11" s="64"/>
      <c r="P11" s="59"/>
      <c r="Q11" s="65">
        <f t="shared" si="1"/>
        <v>0</v>
      </c>
      <c r="R11" s="65">
        <f t="shared" si="2"/>
        <v>0</v>
      </c>
      <c r="S11" s="1"/>
      <c r="T11" s="1"/>
      <c r="U11" s="57" t="s">
        <v>177</v>
      </c>
      <c r="V11" s="46"/>
      <c r="W11" s="46"/>
      <c r="X11" s="46"/>
      <c r="Y11" s="46"/>
      <c r="Z11" s="1"/>
    </row>
    <row r="12" ht="15.0" customHeight="1">
      <c r="A12" s="1"/>
      <c r="B12" s="58" t="s">
        <v>178</v>
      </c>
      <c r="C12" s="76">
        <f>SUMIFS('freee実績'!$E:$E,'freee実績'!$B:$B,"2026-10",'freee実績'!$C:$C,"仕入高",'freee実績'!$D:$D,"牛乳・シロップ等")</f>
        <v>0</v>
      </c>
      <c r="D12" s="60"/>
      <c r="E12" s="152"/>
      <c r="F12" s="1"/>
      <c r="G12" s="1"/>
      <c r="H12" s="1"/>
      <c r="I12" s="1"/>
      <c r="J12" s="1"/>
      <c r="K12" s="1"/>
      <c r="L12" s="60"/>
      <c r="M12" s="59"/>
      <c r="N12" s="63"/>
      <c r="O12" s="64"/>
      <c r="P12" s="59"/>
      <c r="Q12" s="65">
        <f t="shared" si="1"/>
        <v>0</v>
      </c>
      <c r="R12" s="65">
        <f t="shared" si="2"/>
        <v>0</v>
      </c>
      <c r="S12" s="1"/>
      <c r="T12" s="1"/>
      <c r="U12" s="66" t="s">
        <v>3</v>
      </c>
      <c r="V12" s="67" t="s">
        <v>159</v>
      </c>
      <c r="W12" s="67" t="s">
        <v>160</v>
      </c>
      <c r="X12" s="67" t="s">
        <v>161</v>
      </c>
      <c r="Y12" s="66" t="s">
        <v>179</v>
      </c>
      <c r="Z12" s="1"/>
    </row>
    <row r="13" ht="15.0" customHeight="1">
      <c r="A13" s="1"/>
      <c r="B13" s="58" t="s">
        <v>180</v>
      </c>
      <c r="C13" s="76">
        <f>SUMIFS('freee実績'!$E:$E,'freee実績'!$B:$B,"2026-10",'freee実績'!$C:$C,"仕入高",'freee実績'!$D:$D,"フード材料費")</f>
        <v>0</v>
      </c>
      <c r="D13" s="60"/>
      <c r="E13" s="152"/>
      <c r="F13" s="1"/>
      <c r="G13" s="54" t="s">
        <v>181</v>
      </c>
      <c r="H13" s="46"/>
      <c r="I13" s="46"/>
      <c r="J13" s="46"/>
      <c r="K13" s="1"/>
      <c r="L13" s="72" t="s">
        <v>182</v>
      </c>
      <c r="M13" s="74"/>
      <c r="N13" s="74"/>
      <c r="O13" s="74"/>
      <c r="P13" s="74"/>
      <c r="Q13" s="73">
        <f t="shared" ref="Q13:R13" si="7">SUM(Q5:Q12)</f>
        <v>0</v>
      </c>
      <c r="R13" s="73">
        <f t="shared" si="7"/>
        <v>0</v>
      </c>
      <c r="S13" s="1"/>
      <c r="T13" s="1"/>
      <c r="U13" s="6" t="s">
        <v>183</v>
      </c>
      <c r="V13" s="69">
        <f>'売上計画'!I46</f>
        <v>327360</v>
      </c>
      <c r="W13" s="69">
        <f>C16</f>
        <v>0</v>
      </c>
      <c r="X13" s="69">
        <f t="shared" ref="X13:X14" si="8">W13-V13</f>
        <v>-327360</v>
      </c>
      <c r="Y13" s="71">
        <f>IF(W8=0,0,W13/W8)</f>
        <v>0</v>
      </c>
      <c r="Z13" s="1"/>
    </row>
    <row r="14" ht="15.0" customHeight="1">
      <c r="A14" s="1"/>
      <c r="B14" s="58" t="s">
        <v>184</v>
      </c>
      <c r="C14" s="76">
        <f>SUMIFS('freee実績'!$E:$E,'freee実績'!$B:$B,"2026-10",'freee実績'!$C:$C,"仕入高",'freee実績'!$D:$D,"包装資材・消耗品")</f>
        <v>0</v>
      </c>
      <c r="D14" s="60"/>
      <c r="E14" s="152"/>
      <c r="F14" s="1"/>
      <c r="G14" s="56" t="s">
        <v>70</v>
      </c>
      <c r="H14" s="56" t="s">
        <v>133</v>
      </c>
      <c r="I14" s="56" t="s">
        <v>147</v>
      </c>
      <c r="J14" s="56" t="s">
        <v>148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185</v>
      </c>
      <c r="V14" s="69">
        <f>'売上計画'!I47</f>
        <v>763840</v>
      </c>
      <c r="W14" s="69">
        <f>H20-C16</f>
        <v>0</v>
      </c>
      <c r="X14" s="69">
        <f t="shared" si="8"/>
        <v>-763840</v>
      </c>
      <c r="Y14" s="71">
        <f>IF(W8=0,0,W14/W8)</f>
        <v>0</v>
      </c>
      <c r="Z14" s="1"/>
    </row>
    <row r="15" ht="15.0" customHeight="1">
      <c r="A15" s="1"/>
      <c r="B15" s="58" t="s">
        <v>186</v>
      </c>
      <c r="C15" s="76">
        <f>SUMIFS('freee実績'!$E:$E,'freee実績'!$B:$B,"2026-10",'freee実績'!$C:$C,"仕入高",'freee実績'!$D:$D,"その他原価")</f>
        <v>0</v>
      </c>
      <c r="D15" s="60"/>
      <c r="E15" s="152"/>
      <c r="F15" s="1"/>
      <c r="G15" s="58" t="s">
        <v>187</v>
      </c>
      <c r="H15" s="52">
        <f>'10月日次売上'!I35</f>
        <v>0</v>
      </c>
      <c r="I15" s="60"/>
      <c r="J15" s="152"/>
      <c r="K15" s="1"/>
      <c r="L15" s="77" t="s">
        <v>188</v>
      </c>
      <c r="M15" s="46"/>
      <c r="N15" s="46"/>
      <c r="O15" s="46"/>
      <c r="P15" s="46"/>
      <c r="Q15" s="46"/>
      <c r="R15" s="46"/>
      <c r="S15" s="1"/>
      <c r="T15" s="1"/>
      <c r="U15" s="1"/>
      <c r="V15" s="70"/>
      <c r="W15" s="70"/>
      <c r="X15" s="70"/>
      <c r="Y15" s="1"/>
      <c r="Z15" s="1"/>
    </row>
    <row r="16" ht="15.0" customHeight="1">
      <c r="A16" s="1"/>
      <c r="B16" s="72" t="s">
        <v>189</v>
      </c>
      <c r="C16" s="73">
        <f>SUM(C11:C15)</f>
        <v>0</v>
      </c>
      <c r="D16" s="74"/>
      <c r="E16" s="74"/>
      <c r="F16" s="1"/>
      <c r="G16" s="58" t="s">
        <v>190</v>
      </c>
      <c r="H16" s="76"/>
      <c r="I16" s="60"/>
      <c r="J16" s="152"/>
      <c r="K16" s="1"/>
      <c r="L16" s="56" t="s">
        <v>3</v>
      </c>
      <c r="M16" s="56" t="s">
        <v>191</v>
      </c>
      <c r="N16" s="56"/>
      <c r="O16" s="56"/>
      <c r="P16" s="56"/>
      <c r="Q16" s="56"/>
      <c r="R16" s="56" t="s">
        <v>5</v>
      </c>
      <c r="S16" s="1"/>
      <c r="T16" s="1"/>
      <c r="U16" s="57" t="s">
        <v>192</v>
      </c>
      <c r="V16" s="46"/>
      <c r="W16" s="46"/>
      <c r="X16" s="46"/>
      <c r="Y16" s="46"/>
      <c r="Z16" s="1"/>
    </row>
    <row r="17" ht="15.0" customHeight="1">
      <c r="A17" s="1"/>
      <c r="B17" s="1"/>
      <c r="C17" s="1"/>
      <c r="D17" s="1"/>
      <c r="E17" s="1"/>
      <c r="F17" s="1"/>
      <c r="G17" s="58" t="s">
        <v>193</v>
      </c>
      <c r="H17" s="76"/>
      <c r="I17" s="60"/>
      <c r="J17" s="152"/>
      <c r="K17" s="1"/>
      <c r="L17" s="58" t="s">
        <v>194</v>
      </c>
      <c r="M17" s="59"/>
      <c r="N17" s="78"/>
      <c r="O17" s="78"/>
      <c r="P17" s="78"/>
      <c r="Q17" s="78"/>
      <c r="R17" s="152"/>
      <c r="S17" s="1"/>
      <c r="T17" s="1"/>
      <c r="U17" s="66" t="s">
        <v>3</v>
      </c>
      <c r="V17" s="67" t="s">
        <v>159</v>
      </c>
      <c r="W17" s="67" t="s">
        <v>160</v>
      </c>
      <c r="X17" s="67" t="s">
        <v>161</v>
      </c>
      <c r="Y17" s="1"/>
      <c r="Z17" s="1"/>
    </row>
    <row r="18" ht="15.0" customHeight="1">
      <c r="A18" s="1"/>
      <c r="B18" s="77" t="s">
        <v>195</v>
      </c>
      <c r="C18" s="46"/>
      <c r="D18" s="46"/>
      <c r="E18" s="46"/>
      <c r="F18" s="1"/>
      <c r="G18" s="72" t="s">
        <v>196</v>
      </c>
      <c r="H18" s="73">
        <f>SUM(H15:H17)</f>
        <v>0</v>
      </c>
      <c r="I18" s="74"/>
      <c r="J18" s="74"/>
      <c r="K18" s="1"/>
      <c r="L18" s="58" t="s">
        <v>197</v>
      </c>
      <c r="M18" s="59"/>
      <c r="N18" s="78"/>
      <c r="O18" s="78"/>
      <c r="P18" s="78"/>
      <c r="Q18" s="78"/>
      <c r="R18" s="152"/>
      <c r="S18" s="1"/>
      <c r="T18" s="1"/>
      <c r="U18" s="6" t="s">
        <v>198</v>
      </c>
      <c r="V18" s="69">
        <f>'売上計画'!I54</f>
        <v>46.5</v>
      </c>
      <c r="W18" s="69">
        <f>C24</f>
        <v>297743.1</v>
      </c>
      <c r="X18" s="69">
        <f t="shared" ref="X18:X21" si="9">W18-V18</f>
        <v>297696.6</v>
      </c>
      <c r="Y18" s="1"/>
      <c r="Z18" s="1"/>
    </row>
    <row r="19" ht="15.0" customHeight="1">
      <c r="A19" s="1"/>
      <c r="B19" s="56" t="s">
        <v>146</v>
      </c>
      <c r="C19" s="56" t="s">
        <v>133</v>
      </c>
      <c r="D19" s="56" t="s">
        <v>147</v>
      </c>
      <c r="E19" s="56" t="s">
        <v>148</v>
      </c>
      <c r="F19" s="1"/>
      <c r="G19" s="1"/>
      <c r="H19" s="1"/>
      <c r="I19" s="1"/>
      <c r="J19" s="1"/>
      <c r="K19" s="1"/>
      <c r="L19" s="58" t="s">
        <v>199</v>
      </c>
      <c r="M19" s="59"/>
      <c r="N19" s="78"/>
      <c r="O19" s="78"/>
      <c r="P19" s="78"/>
      <c r="Q19" s="78"/>
      <c r="R19" s="152"/>
      <c r="S19" s="1"/>
      <c r="T19" s="1"/>
      <c r="U19" s="6" t="s">
        <v>200</v>
      </c>
      <c r="V19" s="69">
        <f>'売上計画'!I57</f>
        <v>544</v>
      </c>
      <c r="W19" s="69">
        <f>C20+C21+C22+C23</f>
        <v>0</v>
      </c>
      <c r="X19" s="69">
        <f t="shared" si="9"/>
        <v>-544</v>
      </c>
      <c r="Y19" s="1"/>
      <c r="Z19" s="1"/>
    </row>
    <row r="20" ht="15.0" customHeight="1">
      <c r="A20" s="1"/>
      <c r="B20" s="79" t="s">
        <v>201</v>
      </c>
      <c r="C20" s="80">
        <f>SUMIFS('freee実績'!$E:$E,'freee実績'!$B:$B,"2026-10",'freee実績'!$C:$C,"地代家賃")</f>
        <v>0</v>
      </c>
      <c r="D20" s="81" t="s">
        <v>202</v>
      </c>
      <c r="E20" s="152"/>
      <c r="F20" s="1"/>
      <c r="G20" s="82" t="s">
        <v>203</v>
      </c>
      <c r="H20" s="83">
        <f>H11+H18</f>
        <v>0</v>
      </c>
      <c r="I20" s="84"/>
      <c r="J20" s="84"/>
      <c r="K20" s="1"/>
      <c r="L20" s="58" t="s">
        <v>204</v>
      </c>
      <c r="M20" s="59"/>
      <c r="N20" s="78"/>
      <c r="O20" s="78"/>
      <c r="P20" s="78"/>
      <c r="Q20" s="78"/>
      <c r="R20" s="152"/>
      <c r="S20" s="1"/>
      <c r="T20" s="1"/>
      <c r="U20" s="6" t="s">
        <v>205</v>
      </c>
      <c r="V20" s="69">
        <f>'売上計画'!I58</f>
        <v>0</v>
      </c>
      <c r="W20" s="69">
        <f>C25</f>
        <v>0</v>
      </c>
      <c r="X20" s="69">
        <f t="shared" si="9"/>
        <v>0</v>
      </c>
      <c r="Y20" s="1"/>
      <c r="Z20" s="1"/>
    </row>
    <row r="21" ht="15.0" customHeight="1">
      <c r="A21" s="1"/>
      <c r="B21" s="79" t="s">
        <v>206</v>
      </c>
      <c r="C21" s="80">
        <f>SUMIFS('freee実績'!$E:$E,'freee実績'!$B:$B,"2026-10",'freee実績'!$C:$C,"水道光熱費")</f>
        <v>0</v>
      </c>
      <c r="D21" s="81" t="s">
        <v>202</v>
      </c>
      <c r="E21" s="152"/>
      <c r="F21" s="1"/>
      <c r="G21" s="1"/>
      <c r="H21" s="1"/>
      <c r="I21" s="1"/>
      <c r="J21" s="1"/>
      <c r="K21" s="1"/>
      <c r="L21" s="72" t="s">
        <v>207</v>
      </c>
      <c r="M21" s="73">
        <f>SUM(M17:M20)</f>
        <v>0</v>
      </c>
      <c r="N21" s="74"/>
      <c r="O21" s="74"/>
      <c r="P21" s="74"/>
      <c r="Q21" s="74"/>
      <c r="R21" s="74"/>
      <c r="S21" s="1"/>
      <c r="T21" s="1"/>
      <c r="U21" s="6" t="s">
        <v>208</v>
      </c>
      <c r="V21" s="69">
        <f>'売上計画'!I59</f>
        <v>0</v>
      </c>
      <c r="W21" s="69">
        <f>C30</f>
        <v>312176.9333</v>
      </c>
      <c r="X21" s="69">
        <f t="shared" si="9"/>
        <v>312176.9333</v>
      </c>
      <c r="Y21" s="1"/>
      <c r="Z21" s="1"/>
    </row>
    <row r="22" ht="16.5" customHeight="1">
      <c r="A22" s="1"/>
      <c r="B22" s="79" t="s">
        <v>209</v>
      </c>
      <c r="C22" s="80">
        <f>SUMIFS('freee実績'!$E:$E,'freee実績'!$B:$B,"2026-10",'freee実績'!$C:$C,"通信費")</f>
        <v>0</v>
      </c>
      <c r="D22" s="81" t="s">
        <v>202</v>
      </c>
      <c r="E22" s="152"/>
      <c r="F22" s="1"/>
      <c r="G22" s="85" t="s">
        <v>210</v>
      </c>
      <c r="H22" s="46"/>
      <c r="I22" s="46"/>
      <c r="J22" s="4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0"/>
      <c r="W22" s="70"/>
      <c r="X22" s="70"/>
      <c r="Y22" s="1"/>
      <c r="Z22" s="1"/>
    </row>
    <row r="23" ht="15.0" customHeight="1">
      <c r="A23" s="1"/>
      <c r="B23" s="79" t="s">
        <v>211</v>
      </c>
      <c r="C23" s="80">
        <f>SUMIFS('freee実績'!$E:$E,'freee実績'!$B:$B,"2026-10",'freee実績'!$C:$C,"保険料")</f>
        <v>0</v>
      </c>
      <c r="D23" s="81" t="s">
        <v>202</v>
      </c>
      <c r="E23" s="152"/>
      <c r="F23" s="1"/>
      <c r="G23" s="56" t="s">
        <v>212</v>
      </c>
      <c r="H23" s="56" t="s">
        <v>213</v>
      </c>
      <c r="I23" s="56"/>
      <c r="J23" s="56" t="s">
        <v>214</v>
      </c>
      <c r="K23" s="1"/>
      <c r="L23" s="86" t="s">
        <v>215</v>
      </c>
      <c r="M23" s="87">
        <f>Q13+R13+M21</f>
        <v>0</v>
      </c>
      <c r="N23" s="88"/>
      <c r="O23" s="88"/>
      <c r="P23" s="88"/>
      <c r="Q23" s="88"/>
      <c r="R23" s="88"/>
      <c r="S23" s="1"/>
      <c r="T23" s="1"/>
      <c r="U23" s="57" t="s">
        <v>216</v>
      </c>
      <c r="V23" s="46"/>
      <c r="W23" s="46"/>
      <c r="X23" s="46"/>
      <c r="Y23" s="46"/>
      <c r="Z23" s="1"/>
    </row>
    <row r="24" ht="15.0" customHeight="1">
      <c r="A24" s="1"/>
      <c r="B24" s="58" t="s">
        <v>217</v>
      </c>
      <c r="C24" s="89">
        <f>'役員報酬・社保'!C17+'役員報酬・社保'!D17+'役員報酬・社保'!E17+'役員報酬・社保'!F71+86400</f>
        <v>297743.1</v>
      </c>
      <c r="D24" s="90" t="s">
        <v>218</v>
      </c>
      <c r="E24" s="152"/>
      <c r="F24" s="1"/>
      <c r="G24" s="58" t="s">
        <v>219</v>
      </c>
      <c r="H24" s="91">
        <f>'10月日次売上'!J35</f>
        <v>0</v>
      </c>
      <c r="I24" s="78"/>
      <c r="J24" s="92"/>
      <c r="K24" s="1"/>
      <c r="L24" s="1"/>
      <c r="M24" s="1"/>
      <c r="N24" s="1"/>
      <c r="O24" s="1"/>
      <c r="P24" s="1"/>
      <c r="Q24" s="1"/>
      <c r="R24" s="1"/>
      <c r="S24" s="1"/>
      <c r="T24" s="1"/>
      <c r="U24" s="66" t="s">
        <v>3</v>
      </c>
      <c r="V24" s="67" t="s">
        <v>159</v>
      </c>
      <c r="W24" s="67" t="s">
        <v>160</v>
      </c>
      <c r="X24" s="67" t="s">
        <v>161</v>
      </c>
      <c r="Y24" s="66" t="s">
        <v>162</v>
      </c>
      <c r="Z24" s="1"/>
    </row>
    <row r="25" ht="15.0" customHeight="1">
      <c r="A25" s="1"/>
      <c r="B25" s="58" t="s">
        <v>220</v>
      </c>
      <c r="C25" s="93">
        <f>SUMIFS('freee実績'!$E:$E,'freee実績'!$B:$B,"2026-10",'freee実績'!$C:$C,"消耗品費")</f>
        <v>0</v>
      </c>
      <c r="D25" s="90" t="s">
        <v>218</v>
      </c>
      <c r="E25" s="152"/>
      <c r="F25" s="1"/>
      <c r="G25" s="58" t="s">
        <v>173</v>
      </c>
      <c r="H25" s="65">
        <f>IF(H24=0,0,H20/H24)</f>
        <v>0</v>
      </c>
      <c r="I25" s="78"/>
      <c r="J25" s="94" t="s">
        <v>221</v>
      </c>
      <c r="K25" s="1"/>
      <c r="L25" s="95" t="s">
        <v>222</v>
      </c>
      <c r="M25" s="1"/>
      <c r="N25" s="1"/>
      <c r="O25" s="1"/>
      <c r="P25" s="1"/>
      <c r="Q25" s="1"/>
      <c r="R25" s="1"/>
      <c r="S25" s="1"/>
      <c r="T25" s="1"/>
      <c r="U25" s="6" t="s">
        <v>223</v>
      </c>
      <c r="V25" s="69" t="str">
        <f>'売上計画'!I61</f>
        <v/>
      </c>
      <c r="W25" s="69">
        <f>I39</f>
        <v>-312176.9333</v>
      </c>
      <c r="X25" s="69">
        <f t="shared" ref="X25:X26" si="10">W25-V25</f>
        <v>-312176.9333</v>
      </c>
      <c r="Y25" s="71">
        <f>IF(V25=0,0,W25/V25)</f>
        <v>0</v>
      </c>
      <c r="Z25" s="1"/>
    </row>
    <row r="26" ht="15.0" customHeight="1">
      <c r="A26" s="1"/>
      <c r="B26" s="58" t="s">
        <v>224</v>
      </c>
      <c r="C26" s="93">
        <f>SUMIFS('freee実績'!$E:$E,'freee実績'!$B:$B,"2026-10",'freee実績'!$C:$C,"広告宣伝費")</f>
        <v>0</v>
      </c>
      <c r="D26" s="90" t="s">
        <v>218</v>
      </c>
      <c r="E26" s="152"/>
      <c r="F26" s="1"/>
      <c r="G26" s="58" t="s">
        <v>225</v>
      </c>
      <c r="H26" s="63">
        <v>31.0</v>
      </c>
      <c r="I26" s="78"/>
      <c r="J26" s="92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226</v>
      </c>
      <c r="V26" s="71">
        <f>'売上計画'!I62</f>
        <v>523840</v>
      </c>
      <c r="W26" s="71">
        <f>IF(W8=0,0,W25/W8)</f>
        <v>0</v>
      </c>
      <c r="X26" s="71">
        <f t="shared" si="10"/>
        <v>-523840</v>
      </c>
      <c r="Y26" s="1"/>
      <c r="Z26" s="1"/>
    </row>
    <row r="27" ht="15.0" customHeight="1">
      <c r="A27" s="1"/>
      <c r="B27" s="58" t="s">
        <v>227</v>
      </c>
      <c r="C27" s="93">
        <f>SUMIFS('freee実績'!$E:$E,'freee実績'!$B:$B,"2026-10",'freee実績'!$C:$C,"修繕費")</f>
        <v>0</v>
      </c>
      <c r="D27" s="90" t="s">
        <v>218</v>
      </c>
      <c r="E27" s="152"/>
      <c r="F27" s="1"/>
      <c r="G27" s="58" t="s">
        <v>228</v>
      </c>
      <c r="H27" s="65">
        <f>IF(H26=0,0,H20/H26)</f>
        <v>0</v>
      </c>
      <c r="I27" s="78"/>
      <c r="J27" s="94" t="s">
        <v>229</v>
      </c>
      <c r="K27" s="1"/>
      <c r="L27" s="85" t="s">
        <v>230</v>
      </c>
      <c r="M27" s="46"/>
      <c r="N27" s="46"/>
      <c r="O27" s="46"/>
      <c r="P27" s="46"/>
      <c r="Q27" s="46"/>
      <c r="R27" s="46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8" t="s">
        <v>231</v>
      </c>
      <c r="C28" s="93">
        <f>SUMIFS('freee実績'!$E:$E,'freee実績'!$B:$B,"2026-10",'freee実績'!$C:$C,"雑費")</f>
        <v>0</v>
      </c>
      <c r="D28" s="90" t="s">
        <v>218</v>
      </c>
      <c r="E28" s="152"/>
      <c r="F28" s="1"/>
      <c r="G28" s="58" t="s">
        <v>179</v>
      </c>
      <c r="H28" s="96">
        <f>IF(H20=0,0,C16/H20)</f>
        <v>0</v>
      </c>
      <c r="I28" s="78"/>
      <c r="J28" s="94" t="s">
        <v>232</v>
      </c>
      <c r="K28" s="1"/>
      <c r="L28" s="56" t="s">
        <v>212</v>
      </c>
      <c r="M28" s="56" t="s">
        <v>213</v>
      </c>
      <c r="N28" s="56"/>
      <c r="O28" s="56"/>
      <c r="P28" s="56"/>
      <c r="Q28" s="56"/>
      <c r="R28" s="56" t="s">
        <v>214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97" t="s">
        <v>233</v>
      </c>
      <c r="C29" s="98">
        <f>'固定資産台帳'!R26</f>
        <v>14433.83333</v>
      </c>
      <c r="D29" s="99" t="s">
        <v>234</v>
      </c>
      <c r="E29" s="152"/>
      <c r="F29" s="1"/>
      <c r="G29" s="1"/>
      <c r="H29" s="1"/>
      <c r="I29" s="1"/>
      <c r="J29" s="1"/>
      <c r="K29" s="1"/>
      <c r="L29" s="58" t="s">
        <v>235</v>
      </c>
      <c r="M29" s="96">
        <f>IF(H20=0,0,M23/H20)</f>
        <v>0</v>
      </c>
      <c r="N29" s="78"/>
      <c r="O29" s="78"/>
      <c r="P29" s="78"/>
      <c r="Q29" s="78"/>
      <c r="R29" s="94" t="s">
        <v>236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2" t="s">
        <v>237</v>
      </c>
      <c r="C30" s="73">
        <f>SUM(C20:C29)</f>
        <v>312176.9333</v>
      </c>
      <c r="D30" s="74"/>
      <c r="E30" s="74"/>
      <c r="F30" s="1"/>
      <c r="G30" s="1"/>
      <c r="H30" s="1"/>
      <c r="I30" s="1"/>
      <c r="J30" s="1"/>
      <c r="K30" s="1"/>
      <c r="L30" s="58" t="s">
        <v>238</v>
      </c>
      <c r="M30" s="65">
        <f>IF((SUM(N5:N12)*SUM(O5:O12))=0,0,H20/(SUM(N5:N12)*SUM(O5:O12)))</f>
        <v>0</v>
      </c>
      <c r="N30" s="78"/>
      <c r="O30" s="78"/>
      <c r="P30" s="78"/>
      <c r="Q30" s="78"/>
      <c r="R30" s="94" t="s">
        <v>239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77" t="s">
        <v>240</v>
      </c>
      <c r="C32" s="46"/>
      <c r="D32" s="46"/>
      <c r="E32" s="46"/>
      <c r="F32" s="100"/>
      <c r="G32" s="53" t="s">
        <v>241</v>
      </c>
      <c r="H32" s="46"/>
      <c r="I32" s="46"/>
      <c r="J32" s="46"/>
      <c r="K32" s="1"/>
      <c r="L32" s="101" t="s">
        <v>242</v>
      </c>
      <c r="M32" s="46"/>
      <c r="N32" s="46"/>
      <c r="O32" s="46"/>
      <c r="P32" s="46"/>
      <c r="Q32" s="46"/>
      <c r="R32" s="46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6" t="s">
        <v>146</v>
      </c>
      <c r="C33" s="56" t="s">
        <v>243</v>
      </c>
      <c r="D33" s="56" t="s">
        <v>160</v>
      </c>
      <c r="E33" s="102" t="s">
        <v>244</v>
      </c>
      <c r="F33" s="56" t="s">
        <v>148</v>
      </c>
      <c r="G33" s="56"/>
      <c r="H33" s="56" t="s">
        <v>3</v>
      </c>
      <c r="I33" s="56" t="s">
        <v>133</v>
      </c>
      <c r="J33" s="56"/>
      <c r="K33" s="1"/>
      <c r="L33" s="95" t="s">
        <v>245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58" t="s">
        <v>294</v>
      </c>
      <c r="C34" s="76"/>
      <c r="D34" s="59"/>
      <c r="E34" s="65">
        <f t="shared" ref="E34:E54" si="11">C34-D34</f>
        <v>0</v>
      </c>
      <c r="F34" s="109"/>
      <c r="G34" s="78"/>
      <c r="H34" s="106" t="s">
        <v>246</v>
      </c>
      <c r="I34" s="65">
        <f>H20</f>
        <v>0</v>
      </c>
      <c r="J34" s="78"/>
      <c r="K34" s="1"/>
      <c r="L34" s="107" t="s">
        <v>247</v>
      </c>
      <c r="M34" s="108" t="s">
        <v>248</v>
      </c>
      <c r="N34" s="95" t="s">
        <v>249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58" t="s">
        <v>295</v>
      </c>
      <c r="C35" s="76"/>
      <c r="D35" s="59"/>
      <c r="E35" s="65">
        <f t="shared" si="11"/>
        <v>0</v>
      </c>
      <c r="F35" s="109"/>
      <c r="G35" s="78"/>
      <c r="H35" s="106" t="s">
        <v>183</v>
      </c>
      <c r="I35" s="65">
        <f>C16</f>
        <v>0</v>
      </c>
      <c r="J35" s="78"/>
      <c r="K35" s="1"/>
      <c r="L35" s="58" t="s">
        <v>250</v>
      </c>
      <c r="M35" s="52">
        <f>M23</f>
        <v>0</v>
      </c>
      <c r="N35" s="110" t="s">
        <v>251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58" t="s">
        <v>296</v>
      </c>
      <c r="C36" s="76"/>
      <c r="D36" s="59"/>
      <c r="E36" s="65">
        <f t="shared" si="11"/>
        <v>0</v>
      </c>
      <c r="F36" s="109"/>
      <c r="G36" s="78"/>
      <c r="H36" s="106" t="s">
        <v>185</v>
      </c>
      <c r="I36" s="65">
        <f>I34-I35</f>
        <v>0</v>
      </c>
      <c r="J36" s="78"/>
      <c r="K36" s="1"/>
      <c r="L36" s="58" t="s">
        <v>252</v>
      </c>
      <c r="M36" s="65">
        <f>IF(M34="支払い",M35,0)</f>
        <v>0</v>
      </c>
      <c r="N36" s="95" t="s">
        <v>253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0"/>
      <c r="C37" s="76"/>
      <c r="D37" s="59"/>
      <c r="E37" s="65">
        <f t="shared" si="11"/>
        <v>0</v>
      </c>
      <c r="F37" s="109"/>
      <c r="G37" s="78"/>
      <c r="H37" s="106" t="s">
        <v>254</v>
      </c>
      <c r="I37" s="96">
        <f>IF(I34=0,0,I36/I34)</f>
        <v>0</v>
      </c>
      <c r="J37" s="78"/>
      <c r="K37" s="1"/>
      <c r="L37" s="111" t="s">
        <v>255</v>
      </c>
      <c r="M37" s="112">
        <f>M35-M36</f>
        <v>0</v>
      </c>
      <c r="N37" s="95" t="s">
        <v>256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3"/>
      <c r="C38" s="76"/>
      <c r="D38" s="59"/>
      <c r="E38" s="65">
        <f t="shared" si="11"/>
        <v>0</v>
      </c>
      <c r="F38" s="109"/>
      <c r="G38" s="78"/>
      <c r="H38" s="106" t="s">
        <v>208</v>
      </c>
      <c r="I38" s="65">
        <f>C30</f>
        <v>312176.9333</v>
      </c>
      <c r="J38" s="78"/>
      <c r="K38" s="1"/>
      <c r="L38" s="58" t="s">
        <v>257</v>
      </c>
      <c r="M38" s="52">
        <f>'9月'!M39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0"/>
      <c r="C39" s="76"/>
      <c r="D39" s="59"/>
      <c r="E39" s="65">
        <f t="shared" si="11"/>
        <v>0</v>
      </c>
      <c r="F39" s="109"/>
      <c r="G39" s="78"/>
      <c r="H39" s="113" t="s">
        <v>223</v>
      </c>
      <c r="I39" s="114">
        <f>I36-I38</f>
        <v>-312176.9333</v>
      </c>
      <c r="J39" s="115"/>
      <c r="K39" s="1"/>
      <c r="L39" s="116" t="s">
        <v>258</v>
      </c>
      <c r="M39" s="117">
        <f>M38+M37</f>
        <v>0</v>
      </c>
      <c r="N39" s="95" t="s">
        <v>259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3"/>
      <c r="C40" s="76"/>
      <c r="D40" s="59"/>
      <c r="E40" s="65">
        <f t="shared" si="11"/>
        <v>0</v>
      </c>
      <c r="F40" s="109"/>
      <c r="G40" s="118"/>
      <c r="H40" s="118"/>
      <c r="I40" s="118"/>
      <c r="J40" s="1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0"/>
      <c r="C41" s="76"/>
      <c r="D41" s="59"/>
      <c r="E41" s="65">
        <f t="shared" si="11"/>
        <v>0</v>
      </c>
      <c r="F41" s="109"/>
      <c r="G41" s="118"/>
      <c r="H41" s="118"/>
      <c r="I41" s="118"/>
      <c r="J41" s="118"/>
      <c r="K41" s="1"/>
      <c r="L41" s="58" t="s">
        <v>260</v>
      </c>
      <c r="M41" s="59"/>
      <c r="N41" s="95" t="s">
        <v>261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3"/>
      <c r="C42" s="76"/>
      <c r="D42" s="59"/>
      <c r="E42" s="65">
        <f t="shared" si="11"/>
        <v>0</v>
      </c>
      <c r="F42" s="109"/>
      <c r="G42" s="118"/>
      <c r="H42" s="118"/>
      <c r="I42" s="118"/>
      <c r="J42" s="1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0"/>
      <c r="C43" s="76"/>
      <c r="D43" s="59"/>
      <c r="E43" s="65">
        <f t="shared" si="11"/>
        <v>0</v>
      </c>
      <c r="F43" s="109"/>
      <c r="G43" s="118"/>
      <c r="H43" s="118"/>
      <c r="I43" s="118"/>
      <c r="J43" s="1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3"/>
      <c r="C44" s="76"/>
      <c r="D44" s="59"/>
      <c r="E44" s="65">
        <f t="shared" si="11"/>
        <v>0</v>
      </c>
      <c r="F44" s="109"/>
      <c r="G44" s="118"/>
      <c r="H44" s="118"/>
      <c r="I44" s="118"/>
      <c r="J44" s="1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0"/>
      <c r="C45" s="76"/>
      <c r="D45" s="59"/>
      <c r="E45" s="65">
        <f t="shared" si="11"/>
        <v>0</v>
      </c>
      <c r="F45" s="109"/>
      <c r="G45" s="118"/>
      <c r="H45" s="118"/>
      <c r="I45" s="118"/>
      <c r="J45" s="1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3"/>
      <c r="C46" s="76"/>
      <c r="D46" s="59"/>
      <c r="E46" s="65">
        <f t="shared" si="11"/>
        <v>0</v>
      </c>
      <c r="F46" s="109"/>
      <c r="G46" s="118"/>
      <c r="H46" s="118"/>
      <c r="I46" s="118"/>
      <c r="J46" s="1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0"/>
      <c r="C47" s="76"/>
      <c r="D47" s="59"/>
      <c r="E47" s="65">
        <f t="shared" si="11"/>
        <v>0</v>
      </c>
      <c r="F47" s="109"/>
      <c r="G47" s="118"/>
      <c r="H47" s="118"/>
      <c r="I47" s="118"/>
      <c r="J47" s="1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3"/>
      <c r="C48" s="76"/>
      <c r="D48" s="59"/>
      <c r="E48" s="65">
        <f t="shared" si="11"/>
        <v>0</v>
      </c>
      <c r="F48" s="109"/>
      <c r="G48" s="118"/>
      <c r="H48" s="118"/>
      <c r="I48" s="118"/>
      <c r="J48" s="1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0"/>
      <c r="C49" s="76"/>
      <c r="D49" s="59"/>
      <c r="E49" s="65">
        <f t="shared" si="11"/>
        <v>0</v>
      </c>
      <c r="F49" s="109"/>
      <c r="G49" s="118"/>
      <c r="H49" s="118"/>
      <c r="I49" s="118"/>
      <c r="J49" s="1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3"/>
      <c r="C50" s="76"/>
      <c r="D50" s="59"/>
      <c r="E50" s="65">
        <f t="shared" si="11"/>
        <v>0</v>
      </c>
      <c r="F50" s="109"/>
      <c r="G50" s="118"/>
      <c r="H50" s="118"/>
      <c r="I50" s="118"/>
      <c r="J50" s="1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0"/>
      <c r="C51" s="76"/>
      <c r="D51" s="59"/>
      <c r="E51" s="65">
        <f t="shared" si="11"/>
        <v>0</v>
      </c>
      <c r="F51" s="109"/>
      <c r="G51" s="118"/>
      <c r="H51" s="118"/>
      <c r="I51" s="118"/>
      <c r="J51" s="1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3"/>
      <c r="C52" s="76"/>
      <c r="D52" s="59"/>
      <c r="E52" s="65">
        <f t="shared" si="11"/>
        <v>0</v>
      </c>
      <c r="F52" s="109"/>
      <c r="G52" s="118"/>
      <c r="H52" s="118"/>
      <c r="I52" s="118"/>
      <c r="J52" s="1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0"/>
      <c r="C53" s="76"/>
      <c r="D53" s="59"/>
      <c r="E53" s="65">
        <f t="shared" si="11"/>
        <v>0</v>
      </c>
      <c r="F53" s="109"/>
      <c r="G53" s="118"/>
      <c r="H53" s="118"/>
      <c r="I53" s="118"/>
      <c r="J53" s="1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2" t="s">
        <v>262</v>
      </c>
      <c r="C54" s="73">
        <f t="shared" ref="C54:D54" si="12">SUM(C34:C53)</f>
        <v>0</v>
      </c>
      <c r="D54" s="73">
        <f t="shared" si="12"/>
        <v>0</v>
      </c>
      <c r="E54" s="73">
        <f t="shared" si="11"/>
        <v>0</v>
      </c>
      <c r="F54" s="74"/>
      <c r="G54" s="118"/>
      <c r="H54" s="119"/>
      <c r="I54" s="120"/>
      <c r="J54" s="1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18"/>
      <c r="H55" s="119"/>
      <c r="I55" s="121"/>
      <c r="J55" s="1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2" t="s">
        <v>263</v>
      </c>
      <c r="C56" s="123">
        <f>C16+C30+D54</f>
        <v>312176.9333</v>
      </c>
      <c r="D56" s="124"/>
      <c r="E56" s="124"/>
      <c r="F56" s="1"/>
      <c r="G56" s="118"/>
      <c r="H56" s="119"/>
      <c r="I56" s="121"/>
      <c r="J56" s="1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18"/>
      <c r="H57" s="118"/>
      <c r="I57" s="118"/>
      <c r="J57" s="1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5" t="s">
        <v>264</v>
      </c>
      <c r="H58" s="46"/>
      <c r="I58" s="46"/>
      <c r="J58" s="4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6"/>
      <c r="H59" s="56" t="s">
        <v>3</v>
      </c>
      <c r="I59" s="56" t="s">
        <v>133</v>
      </c>
      <c r="J59" s="5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6"/>
      <c r="H60" s="127" t="s">
        <v>223</v>
      </c>
      <c r="I60" s="128">
        <f>I39</f>
        <v>-312176.9333</v>
      </c>
      <c r="J60" s="12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6"/>
      <c r="H61" s="127" t="s">
        <v>265</v>
      </c>
      <c r="I61" s="130">
        <f>C29</f>
        <v>14433.83333</v>
      </c>
      <c r="J61" s="131" t="s">
        <v>266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2"/>
      <c r="H62" s="72" t="s">
        <v>267</v>
      </c>
      <c r="I62" s="73">
        <f>I60+I61+M37-M41</f>
        <v>-297743.1</v>
      </c>
      <c r="J62" s="133" t="s">
        <v>268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18"/>
      <c r="H63" s="118"/>
      <c r="I63" s="118"/>
      <c r="J63" s="1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6"/>
      <c r="H64" s="127" t="s">
        <v>269</v>
      </c>
      <c r="I64" s="130">
        <f>D54</f>
        <v>0</v>
      </c>
      <c r="J64" s="131" t="s">
        <v>270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2"/>
      <c r="H65" s="72" t="s">
        <v>271</v>
      </c>
      <c r="I65" s="73">
        <f>-I64</f>
        <v>0</v>
      </c>
      <c r="J65" s="133" t="s">
        <v>272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18"/>
      <c r="H66" s="118"/>
      <c r="I66" s="118"/>
      <c r="J66" s="1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6"/>
      <c r="H67" s="127" t="s">
        <v>273</v>
      </c>
      <c r="I67" s="130" t="str">
        <f>C6</f>
        <v/>
      </c>
      <c r="J67" s="12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2"/>
      <c r="H68" s="72" t="s">
        <v>274</v>
      </c>
      <c r="I68" s="73" t="str">
        <f>I67</f>
        <v/>
      </c>
      <c r="J68" s="1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18"/>
      <c r="H69" s="118"/>
      <c r="I69" s="118"/>
      <c r="J69" s="1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3" t="s">
        <v>275</v>
      </c>
      <c r="H70" s="46"/>
      <c r="I70" s="46"/>
      <c r="J70" s="4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4"/>
      <c r="H71" s="58" t="s">
        <v>276</v>
      </c>
      <c r="I71" s="89">
        <f>C5</f>
        <v>1729103.2</v>
      </c>
      <c r="J71" s="13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4"/>
      <c r="H72" s="58" t="s">
        <v>277</v>
      </c>
      <c r="I72" s="104">
        <f>I62</f>
        <v>-297743.1</v>
      </c>
      <c r="J72" s="13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4"/>
      <c r="H73" s="58" t="s">
        <v>278</v>
      </c>
      <c r="I73" s="104">
        <f>I65</f>
        <v>0</v>
      </c>
      <c r="J73" s="1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4"/>
      <c r="H74" s="58" t="s">
        <v>279</v>
      </c>
      <c r="I74" s="104" t="str">
        <f>I68</f>
        <v/>
      </c>
      <c r="J74" s="1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6"/>
      <c r="H75" s="137" t="s">
        <v>280</v>
      </c>
      <c r="I75" s="138">
        <f>I71+I72+I73+I74</f>
        <v>1431360.1</v>
      </c>
      <c r="J75" s="139" t="s">
        <v>281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18"/>
      <c r="H76" s="118"/>
      <c r="I76" s="118"/>
      <c r="J76" s="1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18"/>
      <c r="H77" s="95" t="s">
        <v>282</v>
      </c>
      <c r="I77" s="118"/>
      <c r="J77" s="1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4"/>
      <c r="H78" s="140" t="s">
        <v>283</v>
      </c>
      <c r="I78" s="141">
        <f>I39</f>
        <v>-312176.9333</v>
      </c>
      <c r="J78" s="1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4"/>
      <c r="H79" s="140" t="s">
        <v>284</v>
      </c>
      <c r="I79" s="141">
        <f>I72+I73+I74</f>
        <v>-297743.1</v>
      </c>
      <c r="J79" s="1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2"/>
      <c r="H80" s="143" t="s">
        <v>285</v>
      </c>
      <c r="I80" s="144">
        <f>I79-I78</f>
        <v>14433.83333</v>
      </c>
      <c r="J80" s="143" t="s">
        <v>286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18"/>
      <c r="H81" s="118"/>
      <c r="I81" s="118"/>
      <c r="J81" s="1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6"/>
      <c r="H82" s="145" t="s">
        <v>287</v>
      </c>
      <c r="I82" s="146">
        <f>I75</f>
        <v>1431360.1</v>
      </c>
      <c r="J82" s="147" t="s">
        <v>288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48"/>
      <c r="H83" s="149" t="s">
        <v>289</v>
      </c>
      <c r="I83" s="150">
        <f>I75-M37</f>
        <v>1431360.1</v>
      </c>
      <c r="J83" s="151" t="s">
        <v>290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18"/>
      <c r="H84" s="118"/>
      <c r="I84" s="118"/>
      <c r="J84" s="1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4" t="s">
        <v>335</v>
      </c>
      <c r="K1" s="1"/>
      <c r="L1" s="1"/>
      <c r="M1" s="1"/>
      <c r="N1" s="1"/>
      <c r="O1" s="1"/>
      <c r="P1" s="1"/>
      <c r="Q1" s="1"/>
      <c r="R1" s="1"/>
      <c r="S1" s="1"/>
      <c r="T1" s="1"/>
      <c r="U1" s="45" t="s">
        <v>137</v>
      </c>
      <c r="V1" s="46"/>
      <c r="W1" s="46"/>
      <c r="X1" s="46"/>
      <c r="Y1" s="46"/>
      <c r="Z1" s="1"/>
    </row>
    <row r="2" ht="21.0" customHeight="1">
      <c r="A2" s="1"/>
      <c r="B2" s="47" t="s">
        <v>138</v>
      </c>
      <c r="C2" s="48">
        <f>I75</f>
        <v>1133617</v>
      </c>
      <c r="D2" s="1"/>
      <c r="E2" s="49" t="s">
        <v>139</v>
      </c>
      <c r="F2" s="50">
        <f>C16+SUM(C20:C23)+SUM(C25:C28)+M36+D54+M41</f>
        <v>0</v>
      </c>
      <c r="G2" s="1"/>
      <c r="H2" s="49" t="s">
        <v>140</v>
      </c>
      <c r="I2" s="51">
        <f>I39</f>
        <v>-312176.9333</v>
      </c>
      <c r="J2" s="1"/>
      <c r="K2" s="1"/>
      <c r="L2" s="47" t="s">
        <v>141</v>
      </c>
      <c r="M2" s="52">
        <f>'12月'!C20+'12月'!C21+'12月'!C22+'12月'!C23+'12月'!C25</f>
        <v>0</v>
      </c>
      <c r="N2" s="1"/>
      <c r="O2" s="1"/>
      <c r="P2" s="1"/>
      <c r="Q2" s="1"/>
      <c r="R2" s="1"/>
      <c r="S2" s="1"/>
      <c r="T2" s="1"/>
      <c r="U2" s="3" t="s">
        <v>142</v>
      </c>
      <c r="Z2" s="1"/>
    </row>
    <row r="3" ht="15.0" customHeight="1">
      <c r="A3" s="1"/>
      <c r="B3" s="53" t="s">
        <v>143</v>
      </c>
      <c r="C3" s="46"/>
      <c r="D3" s="46"/>
      <c r="E3" s="46"/>
      <c r="F3" s="1"/>
      <c r="G3" s="54" t="s">
        <v>144</v>
      </c>
      <c r="H3" s="46"/>
      <c r="I3" s="46"/>
      <c r="J3" s="46"/>
      <c r="K3" s="1"/>
      <c r="L3" s="55" t="s">
        <v>145</v>
      </c>
      <c r="M3" s="46"/>
      <c r="N3" s="46"/>
      <c r="O3" s="46"/>
      <c r="P3" s="46"/>
      <c r="Q3" s="46"/>
      <c r="R3" s="46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6" t="s">
        <v>146</v>
      </c>
      <c r="C4" s="56" t="s">
        <v>133</v>
      </c>
      <c r="D4" s="56" t="s">
        <v>147</v>
      </c>
      <c r="E4" s="56" t="s">
        <v>148</v>
      </c>
      <c r="F4" s="1"/>
      <c r="G4" s="56" t="s">
        <v>70</v>
      </c>
      <c r="H4" s="56" t="s">
        <v>133</v>
      </c>
      <c r="I4" s="56" t="s">
        <v>147</v>
      </c>
      <c r="J4" s="56" t="s">
        <v>148</v>
      </c>
      <c r="K4" s="1"/>
      <c r="L4" s="56" t="s">
        <v>149</v>
      </c>
      <c r="M4" s="56" t="s">
        <v>150</v>
      </c>
      <c r="N4" s="56" t="s">
        <v>151</v>
      </c>
      <c r="O4" s="56" t="s">
        <v>152</v>
      </c>
      <c r="P4" s="56" t="s">
        <v>153</v>
      </c>
      <c r="Q4" s="56" t="s">
        <v>154</v>
      </c>
      <c r="R4" s="56" t="s">
        <v>155</v>
      </c>
      <c r="S4" s="1"/>
      <c r="T4" s="1"/>
      <c r="U4" s="57" t="s">
        <v>156</v>
      </c>
      <c r="V4" s="46"/>
      <c r="W4" s="46"/>
      <c r="X4" s="46"/>
      <c r="Y4" s="46"/>
      <c r="Z4" s="1"/>
    </row>
    <row r="5" ht="15.0" customHeight="1">
      <c r="A5" s="1"/>
      <c r="B5" s="58" t="s">
        <v>292</v>
      </c>
      <c r="C5" s="52">
        <f>'10月'!I75</f>
        <v>1431360.1</v>
      </c>
      <c r="D5" s="60"/>
      <c r="E5" s="152"/>
      <c r="F5" s="1"/>
      <c r="G5" s="58" t="s">
        <v>158</v>
      </c>
      <c r="H5" s="52">
        <f>'11月日次売上'!C34</f>
        <v>0</v>
      </c>
      <c r="I5" s="60"/>
      <c r="J5" s="152"/>
      <c r="K5" s="1"/>
      <c r="L5" s="60"/>
      <c r="M5" s="59"/>
      <c r="N5" s="63"/>
      <c r="O5" s="64"/>
      <c r="P5" s="59"/>
      <c r="Q5" s="65">
        <f t="shared" ref="Q5:Q12" si="1">M5*N5*O5</f>
        <v>0</v>
      </c>
      <c r="R5" s="65">
        <f t="shared" ref="R5:R12" si="2">P5*N5</f>
        <v>0</v>
      </c>
      <c r="S5" s="1"/>
      <c r="T5" s="1"/>
      <c r="U5" s="66" t="s">
        <v>3</v>
      </c>
      <c r="V5" s="67" t="s">
        <v>159</v>
      </c>
      <c r="W5" s="67" t="s">
        <v>160</v>
      </c>
      <c r="X5" s="67" t="s">
        <v>161</v>
      </c>
      <c r="Y5" s="66" t="s">
        <v>162</v>
      </c>
      <c r="Z5" s="1"/>
    </row>
    <row r="6" ht="15.0" customHeight="1">
      <c r="A6" s="1"/>
      <c r="B6" s="58" t="s">
        <v>163</v>
      </c>
      <c r="C6" s="59"/>
      <c r="D6" s="60"/>
      <c r="E6" s="152"/>
      <c r="F6" s="1"/>
      <c r="G6" s="58" t="s">
        <v>164</v>
      </c>
      <c r="H6" s="52">
        <f>'11月日次売上'!D34</f>
        <v>0</v>
      </c>
      <c r="I6" s="60"/>
      <c r="J6" s="152"/>
      <c r="K6" s="1"/>
      <c r="L6" s="60"/>
      <c r="M6" s="59"/>
      <c r="N6" s="63"/>
      <c r="O6" s="64"/>
      <c r="P6" s="59"/>
      <c r="Q6" s="65">
        <f t="shared" si="1"/>
        <v>0</v>
      </c>
      <c r="R6" s="65">
        <f t="shared" si="2"/>
        <v>0</v>
      </c>
      <c r="S6" s="1"/>
      <c r="T6" s="1"/>
      <c r="U6" s="6" t="s">
        <v>165</v>
      </c>
      <c r="V6" s="69">
        <f>'売上計画'!J38</f>
        <v>26</v>
      </c>
      <c r="W6" s="70">
        <f>IF(H26=0,"",H24/H26/2)</f>
        <v>0</v>
      </c>
      <c r="X6" s="69">
        <f t="shared" ref="X6:X7" si="3">IF(W6="",0,W6-V6)</f>
        <v>-26</v>
      </c>
      <c r="Y6" s="71">
        <f t="shared" ref="Y6:Y7" si="4">IF(OR(W6="",V6=0),0,W6/V6)</f>
        <v>0</v>
      </c>
      <c r="Z6" s="1"/>
    </row>
    <row r="7" ht="15.0" customHeight="1">
      <c r="A7" s="1"/>
      <c r="B7" s="72" t="s">
        <v>166</v>
      </c>
      <c r="C7" s="73">
        <f>SUM(C5:C6)</f>
        <v>1431360.1</v>
      </c>
      <c r="D7" s="74"/>
      <c r="E7" s="74"/>
      <c r="F7" s="1"/>
      <c r="G7" s="58" t="s">
        <v>167</v>
      </c>
      <c r="H7" s="52">
        <f>'11月日次売上'!E34</f>
        <v>0</v>
      </c>
      <c r="I7" s="60"/>
      <c r="J7" s="152"/>
      <c r="K7" s="1"/>
      <c r="L7" s="60"/>
      <c r="M7" s="59"/>
      <c r="N7" s="63"/>
      <c r="O7" s="64"/>
      <c r="P7" s="59"/>
      <c r="Q7" s="65">
        <f t="shared" si="1"/>
        <v>0</v>
      </c>
      <c r="R7" s="65">
        <f t="shared" si="2"/>
        <v>0</v>
      </c>
      <c r="S7" s="1"/>
      <c r="T7" s="1"/>
      <c r="U7" s="6" t="s">
        <v>168</v>
      </c>
      <c r="V7" s="69">
        <f>'売上計画'!J39</f>
        <v>16</v>
      </c>
      <c r="W7" s="70">
        <f>IF(H26=0,"",H24/H26/2)</f>
        <v>0</v>
      </c>
      <c r="X7" s="69">
        <f t="shared" si="3"/>
        <v>-16</v>
      </c>
      <c r="Y7" s="71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58" t="s">
        <v>169</v>
      </c>
      <c r="H8" s="52">
        <f>'11月日次売上'!F34</f>
        <v>0</v>
      </c>
      <c r="I8" s="60"/>
      <c r="J8" s="152"/>
      <c r="K8" s="1"/>
      <c r="L8" s="60"/>
      <c r="M8" s="59"/>
      <c r="N8" s="63"/>
      <c r="O8" s="64"/>
      <c r="P8" s="59"/>
      <c r="Q8" s="65">
        <f t="shared" si="1"/>
        <v>0</v>
      </c>
      <c r="R8" s="65">
        <f t="shared" si="2"/>
        <v>0</v>
      </c>
      <c r="S8" s="1"/>
      <c r="T8" s="1"/>
      <c r="U8" s="6" t="s">
        <v>170</v>
      </c>
      <c r="V8" s="69">
        <f>'売上計画'!J45</f>
        <v>1527000</v>
      </c>
      <c r="W8" s="69">
        <f>H20</f>
        <v>0</v>
      </c>
      <c r="X8" s="69">
        <f t="shared" ref="X8:X9" si="5">W8-V8</f>
        <v>-1527000</v>
      </c>
      <c r="Y8" s="71">
        <f t="shared" ref="Y8:Y9" si="6">IF(V8=0,0,W8/V8)</f>
        <v>0</v>
      </c>
      <c r="Z8" s="1"/>
    </row>
    <row r="9" ht="15.0" customHeight="1">
      <c r="A9" s="1"/>
      <c r="B9" s="75" t="s">
        <v>171</v>
      </c>
      <c r="C9" s="46"/>
      <c r="D9" s="46"/>
      <c r="E9" s="46"/>
      <c r="F9" s="1"/>
      <c r="G9" s="58" t="s">
        <v>172</v>
      </c>
      <c r="H9" s="52">
        <f>'11月日次売上'!G34</f>
        <v>0</v>
      </c>
      <c r="I9" s="60"/>
      <c r="J9" s="152"/>
      <c r="K9" s="1"/>
      <c r="L9" s="60"/>
      <c r="M9" s="59"/>
      <c r="N9" s="63"/>
      <c r="O9" s="64"/>
      <c r="P9" s="59"/>
      <c r="Q9" s="65">
        <f t="shared" si="1"/>
        <v>0</v>
      </c>
      <c r="R9" s="65">
        <f t="shared" si="2"/>
        <v>0</v>
      </c>
      <c r="S9" s="1"/>
      <c r="T9" s="1"/>
      <c r="U9" s="6" t="s">
        <v>173</v>
      </c>
      <c r="V9" s="69">
        <f>IF((V6*'売上計画'!$C$7+V7*'売上計画'!$C$8)=0,0,V8/(V6*'売上計画'!$C$7+V7*'売上計画'!$C$8))</f>
        <v>1211.904762</v>
      </c>
      <c r="W9" s="69">
        <f>H25</f>
        <v>0</v>
      </c>
      <c r="X9" s="69">
        <f t="shared" si="5"/>
        <v>-1211.904762</v>
      </c>
      <c r="Y9" s="71">
        <f t="shared" si="6"/>
        <v>0</v>
      </c>
      <c r="Z9" s="1"/>
    </row>
    <row r="10" ht="15.0" customHeight="1">
      <c r="A10" s="1"/>
      <c r="B10" s="56" t="s">
        <v>146</v>
      </c>
      <c r="C10" s="56" t="s">
        <v>133</v>
      </c>
      <c r="D10" s="56" t="s">
        <v>147</v>
      </c>
      <c r="E10" s="56" t="s">
        <v>148</v>
      </c>
      <c r="F10" s="1"/>
      <c r="G10" s="58" t="s">
        <v>174</v>
      </c>
      <c r="H10" s="52">
        <f>'11月日次売上'!H34</f>
        <v>0</v>
      </c>
      <c r="I10" s="60"/>
      <c r="J10" s="152"/>
      <c r="K10" s="1"/>
      <c r="L10" s="60"/>
      <c r="M10" s="59"/>
      <c r="N10" s="63"/>
      <c r="O10" s="64"/>
      <c r="P10" s="59"/>
      <c r="Q10" s="65">
        <f t="shared" si="1"/>
        <v>0</v>
      </c>
      <c r="R10" s="65">
        <f t="shared" si="2"/>
        <v>0</v>
      </c>
      <c r="S10" s="1"/>
      <c r="T10" s="1"/>
      <c r="U10" s="1"/>
      <c r="V10" s="70"/>
      <c r="W10" s="70"/>
      <c r="X10" s="70"/>
      <c r="Y10" s="1"/>
      <c r="Z10" s="1"/>
    </row>
    <row r="11" ht="15.0" customHeight="1">
      <c r="A11" s="1"/>
      <c r="B11" s="58" t="s">
        <v>175</v>
      </c>
      <c r="C11" s="76">
        <f>SUMIFS('freee実績'!$E:$E,'freee実績'!$B:$B,"2026-11",'freee実績'!$C:$C,"仕入高",'freee実績'!$D:$D,"コーヒー豆・茶葉")</f>
        <v>0</v>
      </c>
      <c r="D11" s="60"/>
      <c r="E11" s="152"/>
      <c r="F11" s="1"/>
      <c r="G11" s="72" t="s">
        <v>176</v>
      </c>
      <c r="H11" s="73">
        <f>SUM(H5:H10)</f>
        <v>0</v>
      </c>
      <c r="I11" s="74"/>
      <c r="J11" s="74"/>
      <c r="K11" s="1"/>
      <c r="L11" s="60"/>
      <c r="M11" s="59"/>
      <c r="N11" s="63"/>
      <c r="O11" s="64"/>
      <c r="P11" s="59"/>
      <c r="Q11" s="65">
        <f t="shared" si="1"/>
        <v>0</v>
      </c>
      <c r="R11" s="65">
        <f t="shared" si="2"/>
        <v>0</v>
      </c>
      <c r="S11" s="1"/>
      <c r="T11" s="1"/>
      <c r="U11" s="57" t="s">
        <v>177</v>
      </c>
      <c r="V11" s="46"/>
      <c r="W11" s="46"/>
      <c r="X11" s="46"/>
      <c r="Y11" s="46"/>
      <c r="Z11" s="1"/>
    </row>
    <row r="12" ht="15.0" customHeight="1">
      <c r="A12" s="1"/>
      <c r="B12" s="58" t="s">
        <v>178</v>
      </c>
      <c r="C12" s="76">
        <f>SUMIFS('freee実績'!$E:$E,'freee実績'!$B:$B,"2026-11",'freee実績'!$C:$C,"仕入高",'freee実績'!$D:$D,"牛乳・シロップ等")</f>
        <v>0</v>
      </c>
      <c r="D12" s="60"/>
      <c r="E12" s="152"/>
      <c r="F12" s="1"/>
      <c r="G12" s="1"/>
      <c r="H12" s="1"/>
      <c r="I12" s="1"/>
      <c r="J12" s="1"/>
      <c r="K12" s="1"/>
      <c r="L12" s="60"/>
      <c r="M12" s="59"/>
      <c r="N12" s="63"/>
      <c r="O12" s="64"/>
      <c r="P12" s="59"/>
      <c r="Q12" s="65">
        <f t="shared" si="1"/>
        <v>0</v>
      </c>
      <c r="R12" s="65">
        <f t="shared" si="2"/>
        <v>0</v>
      </c>
      <c r="S12" s="1"/>
      <c r="T12" s="1"/>
      <c r="U12" s="66" t="s">
        <v>3</v>
      </c>
      <c r="V12" s="67" t="s">
        <v>159</v>
      </c>
      <c r="W12" s="67" t="s">
        <v>160</v>
      </c>
      <c r="X12" s="67" t="s">
        <v>161</v>
      </c>
      <c r="Y12" s="66" t="s">
        <v>179</v>
      </c>
      <c r="Z12" s="1"/>
    </row>
    <row r="13" ht="15.0" customHeight="1">
      <c r="A13" s="1"/>
      <c r="B13" s="58" t="s">
        <v>180</v>
      </c>
      <c r="C13" s="76">
        <f>SUMIFS('freee実績'!$E:$E,'freee実績'!$B:$B,"2026-11",'freee実績'!$C:$C,"仕入高",'freee実績'!$D:$D,"フード材料費")</f>
        <v>0</v>
      </c>
      <c r="D13" s="60"/>
      <c r="E13" s="152"/>
      <c r="F13" s="1"/>
      <c r="G13" s="54" t="s">
        <v>181</v>
      </c>
      <c r="H13" s="46"/>
      <c r="I13" s="46"/>
      <c r="J13" s="46"/>
      <c r="K13" s="1"/>
      <c r="L13" s="72" t="s">
        <v>182</v>
      </c>
      <c r="M13" s="74"/>
      <c r="N13" s="74"/>
      <c r="O13" s="74"/>
      <c r="P13" s="74"/>
      <c r="Q13" s="73">
        <f t="shared" ref="Q13:R13" si="7">SUM(Q5:Q12)</f>
        <v>0</v>
      </c>
      <c r="R13" s="73">
        <f t="shared" si="7"/>
        <v>0</v>
      </c>
      <c r="S13" s="1"/>
      <c r="T13" s="1"/>
      <c r="U13" s="6" t="s">
        <v>183</v>
      </c>
      <c r="V13" s="69">
        <f>'売上計画'!J46</f>
        <v>458100</v>
      </c>
      <c r="W13" s="69">
        <f>C16</f>
        <v>0</v>
      </c>
      <c r="X13" s="69">
        <f t="shared" ref="X13:X14" si="8">W13-V13</f>
        <v>-458100</v>
      </c>
      <c r="Y13" s="71">
        <f>IF(W8=0,0,W13/W8)</f>
        <v>0</v>
      </c>
      <c r="Z13" s="1"/>
    </row>
    <row r="14" ht="15.0" customHeight="1">
      <c r="A14" s="1"/>
      <c r="B14" s="58" t="s">
        <v>184</v>
      </c>
      <c r="C14" s="76">
        <f>SUMIFS('freee実績'!$E:$E,'freee実績'!$B:$B,"2026-11",'freee実績'!$C:$C,"仕入高",'freee実績'!$D:$D,"包装資材・消耗品")</f>
        <v>0</v>
      </c>
      <c r="D14" s="60"/>
      <c r="E14" s="152"/>
      <c r="F14" s="1"/>
      <c r="G14" s="56" t="s">
        <v>70</v>
      </c>
      <c r="H14" s="56" t="s">
        <v>133</v>
      </c>
      <c r="I14" s="56" t="s">
        <v>147</v>
      </c>
      <c r="J14" s="56" t="s">
        <v>148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185</v>
      </c>
      <c r="V14" s="69">
        <f>'売上計画'!J47</f>
        <v>1068900</v>
      </c>
      <c r="W14" s="69">
        <f>H20-C16</f>
        <v>0</v>
      </c>
      <c r="X14" s="69">
        <f t="shared" si="8"/>
        <v>-1068900</v>
      </c>
      <c r="Y14" s="71">
        <f>IF(W8=0,0,W14/W8)</f>
        <v>0</v>
      </c>
      <c r="Z14" s="1"/>
    </row>
    <row r="15" ht="15.0" customHeight="1">
      <c r="A15" s="1"/>
      <c r="B15" s="58" t="s">
        <v>186</v>
      </c>
      <c r="C15" s="76">
        <f>SUMIFS('freee実績'!$E:$E,'freee実績'!$B:$B,"2026-11",'freee実績'!$C:$C,"仕入高",'freee実績'!$D:$D,"その他原価")</f>
        <v>0</v>
      </c>
      <c r="D15" s="60"/>
      <c r="E15" s="152"/>
      <c r="F15" s="1"/>
      <c r="G15" s="58" t="s">
        <v>187</v>
      </c>
      <c r="H15" s="52">
        <f>'11月日次売上'!I34</f>
        <v>0</v>
      </c>
      <c r="I15" s="60"/>
      <c r="J15" s="152"/>
      <c r="K15" s="1"/>
      <c r="L15" s="77" t="s">
        <v>188</v>
      </c>
      <c r="M15" s="46"/>
      <c r="N15" s="46"/>
      <c r="O15" s="46"/>
      <c r="P15" s="46"/>
      <c r="Q15" s="46"/>
      <c r="R15" s="46"/>
      <c r="S15" s="1"/>
      <c r="T15" s="1"/>
      <c r="U15" s="1"/>
      <c r="V15" s="70"/>
      <c r="W15" s="70"/>
      <c r="X15" s="70"/>
      <c r="Y15" s="1"/>
      <c r="Z15" s="1"/>
    </row>
    <row r="16" ht="15.0" customHeight="1">
      <c r="A16" s="1"/>
      <c r="B16" s="72" t="s">
        <v>189</v>
      </c>
      <c r="C16" s="73">
        <f>SUM(C11:C15)</f>
        <v>0</v>
      </c>
      <c r="D16" s="74"/>
      <c r="E16" s="74"/>
      <c r="F16" s="1"/>
      <c r="G16" s="58" t="s">
        <v>190</v>
      </c>
      <c r="H16" s="76"/>
      <c r="I16" s="60"/>
      <c r="J16" s="152"/>
      <c r="K16" s="1"/>
      <c r="L16" s="56" t="s">
        <v>3</v>
      </c>
      <c r="M16" s="56" t="s">
        <v>191</v>
      </c>
      <c r="N16" s="56"/>
      <c r="O16" s="56"/>
      <c r="P16" s="56"/>
      <c r="Q16" s="56"/>
      <c r="R16" s="56" t="s">
        <v>5</v>
      </c>
      <c r="S16" s="1"/>
      <c r="T16" s="1"/>
      <c r="U16" s="57" t="s">
        <v>192</v>
      </c>
      <c r="V16" s="46"/>
      <c r="W16" s="46"/>
      <c r="X16" s="46"/>
      <c r="Y16" s="46"/>
      <c r="Z16" s="1"/>
    </row>
    <row r="17" ht="15.0" customHeight="1">
      <c r="A17" s="1"/>
      <c r="B17" s="1"/>
      <c r="C17" s="1"/>
      <c r="D17" s="1"/>
      <c r="E17" s="1"/>
      <c r="F17" s="1"/>
      <c r="G17" s="58" t="s">
        <v>193</v>
      </c>
      <c r="H17" s="76"/>
      <c r="I17" s="60"/>
      <c r="J17" s="152"/>
      <c r="K17" s="1"/>
      <c r="L17" s="58" t="s">
        <v>194</v>
      </c>
      <c r="M17" s="59"/>
      <c r="N17" s="78"/>
      <c r="O17" s="78"/>
      <c r="P17" s="78"/>
      <c r="Q17" s="78"/>
      <c r="R17" s="152"/>
      <c r="S17" s="1"/>
      <c r="T17" s="1"/>
      <c r="U17" s="66" t="s">
        <v>3</v>
      </c>
      <c r="V17" s="67" t="s">
        <v>159</v>
      </c>
      <c r="W17" s="67" t="s">
        <v>160</v>
      </c>
      <c r="X17" s="67" t="s">
        <v>161</v>
      </c>
      <c r="Y17" s="1"/>
      <c r="Z17" s="1"/>
    </row>
    <row r="18" ht="15.0" customHeight="1">
      <c r="A18" s="1"/>
      <c r="B18" s="77" t="s">
        <v>195</v>
      </c>
      <c r="C18" s="46"/>
      <c r="D18" s="46"/>
      <c r="E18" s="46"/>
      <c r="F18" s="1"/>
      <c r="G18" s="72" t="s">
        <v>196</v>
      </c>
      <c r="H18" s="73">
        <f>SUM(H15:H17)</f>
        <v>0</v>
      </c>
      <c r="I18" s="74"/>
      <c r="J18" s="74"/>
      <c r="K18" s="1"/>
      <c r="L18" s="58" t="s">
        <v>197</v>
      </c>
      <c r="M18" s="59"/>
      <c r="N18" s="78"/>
      <c r="O18" s="78"/>
      <c r="P18" s="78"/>
      <c r="Q18" s="78"/>
      <c r="R18" s="152"/>
      <c r="S18" s="1"/>
      <c r="T18" s="1"/>
      <c r="U18" s="6" t="s">
        <v>198</v>
      </c>
      <c r="V18" s="69">
        <f>'売上計画'!J54</f>
        <v>45</v>
      </c>
      <c r="W18" s="69">
        <f>C24</f>
        <v>297743.1</v>
      </c>
      <c r="X18" s="69">
        <f t="shared" ref="X18:X21" si="9">W18-V18</f>
        <v>297698.1</v>
      </c>
      <c r="Y18" s="1"/>
      <c r="Z18" s="1"/>
    </row>
    <row r="19" ht="15.0" customHeight="1">
      <c r="A19" s="1"/>
      <c r="B19" s="56" t="s">
        <v>146</v>
      </c>
      <c r="C19" s="56" t="s">
        <v>133</v>
      </c>
      <c r="D19" s="56" t="s">
        <v>147</v>
      </c>
      <c r="E19" s="56" t="s">
        <v>148</v>
      </c>
      <c r="F19" s="1"/>
      <c r="G19" s="1"/>
      <c r="H19" s="1"/>
      <c r="I19" s="1"/>
      <c r="J19" s="1"/>
      <c r="K19" s="1"/>
      <c r="L19" s="58" t="s">
        <v>199</v>
      </c>
      <c r="M19" s="59"/>
      <c r="N19" s="78"/>
      <c r="O19" s="78"/>
      <c r="P19" s="78"/>
      <c r="Q19" s="78"/>
      <c r="R19" s="152"/>
      <c r="S19" s="1"/>
      <c r="T19" s="1"/>
      <c r="U19" s="6" t="s">
        <v>200</v>
      </c>
      <c r="V19" s="69">
        <f>'売上計画'!J57</f>
        <v>605</v>
      </c>
      <c r="W19" s="69">
        <f>C20+C21+C22+C23</f>
        <v>0</v>
      </c>
      <c r="X19" s="69">
        <f t="shared" si="9"/>
        <v>-605</v>
      </c>
      <c r="Y19" s="1"/>
      <c r="Z19" s="1"/>
    </row>
    <row r="20" ht="15.0" customHeight="1">
      <c r="A20" s="1"/>
      <c r="B20" s="79" t="s">
        <v>201</v>
      </c>
      <c r="C20" s="80">
        <f>SUMIFS('freee実績'!$E:$E,'freee実績'!$B:$B,"2026-11",'freee実績'!$C:$C,"地代家賃")</f>
        <v>0</v>
      </c>
      <c r="D20" s="81" t="s">
        <v>202</v>
      </c>
      <c r="E20" s="152"/>
      <c r="F20" s="1"/>
      <c r="G20" s="82" t="s">
        <v>203</v>
      </c>
      <c r="H20" s="83">
        <f>H11+H18</f>
        <v>0</v>
      </c>
      <c r="I20" s="84"/>
      <c r="J20" s="84"/>
      <c r="K20" s="1"/>
      <c r="L20" s="58" t="s">
        <v>204</v>
      </c>
      <c r="M20" s="59"/>
      <c r="N20" s="78"/>
      <c r="O20" s="78"/>
      <c r="P20" s="78"/>
      <c r="Q20" s="78"/>
      <c r="R20" s="152"/>
      <c r="S20" s="1"/>
      <c r="T20" s="1"/>
      <c r="U20" s="6" t="s">
        <v>205</v>
      </c>
      <c r="V20" s="69">
        <f>'売上計画'!J58</f>
        <v>0</v>
      </c>
      <c r="W20" s="69">
        <f>C25</f>
        <v>0</v>
      </c>
      <c r="X20" s="69">
        <f t="shared" si="9"/>
        <v>0</v>
      </c>
      <c r="Y20" s="1"/>
      <c r="Z20" s="1"/>
    </row>
    <row r="21" ht="15.0" customHeight="1">
      <c r="A21" s="1"/>
      <c r="B21" s="79" t="s">
        <v>206</v>
      </c>
      <c r="C21" s="80">
        <f>SUMIFS('freee実績'!$E:$E,'freee実績'!$B:$B,"2026-11",'freee実績'!$C:$C,"水道光熱費")</f>
        <v>0</v>
      </c>
      <c r="D21" s="81" t="s">
        <v>202</v>
      </c>
      <c r="E21" s="152"/>
      <c r="F21" s="1"/>
      <c r="G21" s="1"/>
      <c r="H21" s="1"/>
      <c r="I21" s="1"/>
      <c r="J21" s="1"/>
      <c r="K21" s="1"/>
      <c r="L21" s="72" t="s">
        <v>207</v>
      </c>
      <c r="M21" s="73">
        <f>SUM(M17:M20)</f>
        <v>0</v>
      </c>
      <c r="N21" s="74"/>
      <c r="O21" s="74"/>
      <c r="P21" s="74"/>
      <c r="Q21" s="74"/>
      <c r="R21" s="74"/>
      <c r="S21" s="1"/>
      <c r="T21" s="1"/>
      <c r="U21" s="6" t="s">
        <v>208</v>
      </c>
      <c r="V21" s="69">
        <f>'売上計画'!J59</f>
        <v>0</v>
      </c>
      <c r="W21" s="69">
        <f>C30</f>
        <v>312176.9333</v>
      </c>
      <c r="X21" s="69">
        <f t="shared" si="9"/>
        <v>312176.9333</v>
      </c>
      <c r="Y21" s="1"/>
      <c r="Z21" s="1"/>
    </row>
    <row r="22" ht="16.5" customHeight="1">
      <c r="A22" s="1"/>
      <c r="B22" s="79" t="s">
        <v>209</v>
      </c>
      <c r="C22" s="80">
        <f>SUMIFS('freee実績'!$E:$E,'freee実績'!$B:$B,"2026-11",'freee実績'!$C:$C,"通信費")</f>
        <v>0</v>
      </c>
      <c r="D22" s="81" t="s">
        <v>202</v>
      </c>
      <c r="E22" s="152"/>
      <c r="F22" s="1"/>
      <c r="G22" s="85" t="s">
        <v>210</v>
      </c>
      <c r="H22" s="46"/>
      <c r="I22" s="46"/>
      <c r="J22" s="4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0"/>
      <c r="W22" s="70"/>
      <c r="X22" s="70"/>
      <c r="Y22" s="1"/>
      <c r="Z22" s="1"/>
    </row>
    <row r="23" ht="15.0" customHeight="1">
      <c r="A23" s="1"/>
      <c r="B23" s="79" t="s">
        <v>211</v>
      </c>
      <c r="C23" s="80">
        <f>SUMIFS('freee実績'!$E:$E,'freee実績'!$B:$B,"2026-11",'freee実績'!$C:$C,"保険料")</f>
        <v>0</v>
      </c>
      <c r="D23" s="81" t="s">
        <v>202</v>
      </c>
      <c r="E23" s="152"/>
      <c r="F23" s="1"/>
      <c r="G23" s="56" t="s">
        <v>212</v>
      </c>
      <c r="H23" s="56" t="s">
        <v>213</v>
      </c>
      <c r="I23" s="56"/>
      <c r="J23" s="56" t="s">
        <v>214</v>
      </c>
      <c r="K23" s="1"/>
      <c r="L23" s="86" t="s">
        <v>215</v>
      </c>
      <c r="M23" s="87">
        <f>Q13+R13+M21</f>
        <v>0</v>
      </c>
      <c r="N23" s="88"/>
      <c r="O23" s="88"/>
      <c r="P23" s="88"/>
      <c r="Q23" s="88"/>
      <c r="R23" s="88"/>
      <c r="S23" s="1"/>
      <c r="T23" s="1"/>
      <c r="U23" s="57" t="s">
        <v>216</v>
      </c>
      <c r="V23" s="46"/>
      <c r="W23" s="46"/>
      <c r="X23" s="46"/>
      <c r="Y23" s="46"/>
      <c r="Z23" s="1"/>
    </row>
    <row r="24" ht="15.0" customHeight="1">
      <c r="A24" s="1"/>
      <c r="B24" s="58" t="s">
        <v>217</v>
      </c>
      <c r="C24" s="89">
        <f>'役員報酬・社保'!C17+'役員報酬・社保'!D17+'役員報酬・社保'!E17+'役員報酬・社保'!F71+86400</f>
        <v>297743.1</v>
      </c>
      <c r="D24" s="90" t="s">
        <v>218</v>
      </c>
      <c r="E24" s="152"/>
      <c r="F24" s="1"/>
      <c r="G24" s="58" t="s">
        <v>219</v>
      </c>
      <c r="H24" s="91">
        <f>'11月日次売上'!J34</f>
        <v>0</v>
      </c>
      <c r="I24" s="78"/>
      <c r="J24" s="92"/>
      <c r="K24" s="1"/>
      <c r="L24" s="1"/>
      <c r="M24" s="1"/>
      <c r="N24" s="1"/>
      <c r="O24" s="1"/>
      <c r="P24" s="1"/>
      <c r="Q24" s="1"/>
      <c r="R24" s="1"/>
      <c r="S24" s="1"/>
      <c r="T24" s="1"/>
      <c r="U24" s="66" t="s">
        <v>3</v>
      </c>
      <c r="V24" s="67" t="s">
        <v>159</v>
      </c>
      <c r="W24" s="67" t="s">
        <v>160</v>
      </c>
      <c r="X24" s="67" t="s">
        <v>161</v>
      </c>
      <c r="Y24" s="66" t="s">
        <v>162</v>
      </c>
      <c r="Z24" s="1"/>
    </row>
    <row r="25" ht="15.0" customHeight="1">
      <c r="A25" s="1"/>
      <c r="B25" s="58" t="s">
        <v>220</v>
      </c>
      <c r="C25" s="93">
        <f>SUMIFS('freee実績'!$E:$E,'freee実績'!$B:$B,"2026-11",'freee実績'!$C:$C,"消耗品費")</f>
        <v>0</v>
      </c>
      <c r="D25" s="90" t="s">
        <v>218</v>
      </c>
      <c r="E25" s="152"/>
      <c r="F25" s="1"/>
      <c r="G25" s="58" t="s">
        <v>173</v>
      </c>
      <c r="H25" s="65">
        <f>IF(H24=0,0,H20/H24)</f>
        <v>0</v>
      </c>
      <c r="I25" s="78"/>
      <c r="J25" s="94" t="s">
        <v>221</v>
      </c>
      <c r="K25" s="1"/>
      <c r="L25" s="95" t="s">
        <v>222</v>
      </c>
      <c r="M25" s="1"/>
      <c r="N25" s="1"/>
      <c r="O25" s="1"/>
      <c r="P25" s="1"/>
      <c r="Q25" s="1"/>
      <c r="R25" s="1"/>
      <c r="S25" s="1"/>
      <c r="T25" s="1"/>
      <c r="U25" s="6" t="s">
        <v>223</v>
      </c>
      <c r="V25" s="69" t="str">
        <f>'売上計画'!J61</f>
        <v/>
      </c>
      <c r="W25" s="69">
        <f>I39</f>
        <v>-312176.9333</v>
      </c>
      <c r="X25" s="69">
        <f t="shared" ref="X25:X26" si="10">W25-V25</f>
        <v>-312176.9333</v>
      </c>
      <c r="Y25" s="71">
        <f>IF(V25=0,0,W25/V25)</f>
        <v>0</v>
      </c>
      <c r="Z25" s="1"/>
    </row>
    <row r="26" ht="15.0" customHeight="1">
      <c r="A26" s="1"/>
      <c r="B26" s="58" t="s">
        <v>224</v>
      </c>
      <c r="C26" s="93">
        <f>SUMIFS('freee実績'!$E:$E,'freee実績'!$B:$B,"2026-11",'freee実績'!$C:$C,"広告宣伝費")</f>
        <v>0</v>
      </c>
      <c r="D26" s="90" t="s">
        <v>218</v>
      </c>
      <c r="E26" s="152"/>
      <c r="F26" s="1"/>
      <c r="G26" s="58" t="s">
        <v>225</v>
      </c>
      <c r="H26" s="63">
        <v>30.0</v>
      </c>
      <c r="I26" s="78"/>
      <c r="J26" s="92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226</v>
      </c>
      <c r="V26" s="71">
        <f>'売上計画'!J62</f>
        <v>768900</v>
      </c>
      <c r="W26" s="71">
        <f>IF(W8=0,0,W25/W8)</f>
        <v>0</v>
      </c>
      <c r="X26" s="71">
        <f t="shared" si="10"/>
        <v>-768900</v>
      </c>
      <c r="Y26" s="1"/>
      <c r="Z26" s="1"/>
    </row>
    <row r="27" ht="15.0" customHeight="1">
      <c r="A27" s="1"/>
      <c r="B27" s="58" t="s">
        <v>227</v>
      </c>
      <c r="C27" s="93">
        <f>SUMIFS('freee実績'!$E:$E,'freee実績'!$B:$B,"2026-11",'freee実績'!$C:$C,"修繕費")</f>
        <v>0</v>
      </c>
      <c r="D27" s="90" t="s">
        <v>218</v>
      </c>
      <c r="E27" s="152"/>
      <c r="F27" s="1"/>
      <c r="G27" s="58" t="s">
        <v>228</v>
      </c>
      <c r="H27" s="65">
        <f>IF(H26=0,0,H20/H26)</f>
        <v>0</v>
      </c>
      <c r="I27" s="78"/>
      <c r="J27" s="94" t="s">
        <v>229</v>
      </c>
      <c r="K27" s="1"/>
      <c r="L27" s="85" t="s">
        <v>230</v>
      </c>
      <c r="M27" s="46"/>
      <c r="N27" s="46"/>
      <c r="O27" s="46"/>
      <c r="P27" s="46"/>
      <c r="Q27" s="46"/>
      <c r="R27" s="46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8" t="s">
        <v>231</v>
      </c>
      <c r="C28" s="93">
        <f>SUMIFS('freee実績'!$E:$E,'freee実績'!$B:$B,"2026-11",'freee実績'!$C:$C,"雑費")</f>
        <v>0</v>
      </c>
      <c r="D28" s="90" t="s">
        <v>218</v>
      </c>
      <c r="E28" s="152"/>
      <c r="F28" s="1"/>
      <c r="G28" s="58" t="s">
        <v>179</v>
      </c>
      <c r="H28" s="96">
        <f>IF(H20=0,0,C16/H20)</f>
        <v>0</v>
      </c>
      <c r="I28" s="78"/>
      <c r="J28" s="94" t="s">
        <v>232</v>
      </c>
      <c r="K28" s="1"/>
      <c r="L28" s="56" t="s">
        <v>212</v>
      </c>
      <c r="M28" s="56" t="s">
        <v>213</v>
      </c>
      <c r="N28" s="56"/>
      <c r="O28" s="56"/>
      <c r="P28" s="56"/>
      <c r="Q28" s="56"/>
      <c r="R28" s="56" t="s">
        <v>214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97" t="s">
        <v>233</v>
      </c>
      <c r="C29" s="98">
        <f>'固定資産台帳'!S26</f>
        <v>14433.83333</v>
      </c>
      <c r="D29" s="99" t="s">
        <v>234</v>
      </c>
      <c r="E29" s="152"/>
      <c r="F29" s="1"/>
      <c r="G29" s="1"/>
      <c r="H29" s="1"/>
      <c r="I29" s="1"/>
      <c r="J29" s="1"/>
      <c r="K29" s="1"/>
      <c r="L29" s="58" t="s">
        <v>235</v>
      </c>
      <c r="M29" s="96">
        <f>IF(H20=0,0,M23/H20)</f>
        <v>0</v>
      </c>
      <c r="N29" s="78"/>
      <c r="O29" s="78"/>
      <c r="P29" s="78"/>
      <c r="Q29" s="78"/>
      <c r="R29" s="94" t="s">
        <v>236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2" t="s">
        <v>237</v>
      </c>
      <c r="C30" s="73">
        <f>SUM(C20:C29)</f>
        <v>312176.9333</v>
      </c>
      <c r="D30" s="74"/>
      <c r="E30" s="74"/>
      <c r="F30" s="1"/>
      <c r="G30" s="1"/>
      <c r="H30" s="1"/>
      <c r="I30" s="1"/>
      <c r="J30" s="1"/>
      <c r="K30" s="1"/>
      <c r="L30" s="58" t="s">
        <v>238</v>
      </c>
      <c r="M30" s="65">
        <f>IF((SUM(N5:N12)*SUM(O5:O12))=0,0,H20/(SUM(N5:N12)*SUM(O5:O12)))</f>
        <v>0</v>
      </c>
      <c r="N30" s="78"/>
      <c r="O30" s="78"/>
      <c r="P30" s="78"/>
      <c r="Q30" s="78"/>
      <c r="R30" s="94" t="s">
        <v>239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77" t="s">
        <v>240</v>
      </c>
      <c r="C32" s="46"/>
      <c r="D32" s="46"/>
      <c r="E32" s="46"/>
      <c r="F32" s="100"/>
      <c r="G32" s="53" t="s">
        <v>241</v>
      </c>
      <c r="H32" s="46"/>
      <c r="I32" s="46"/>
      <c r="J32" s="46"/>
      <c r="K32" s="1"/>
      <c r="L32" s="101" t="s">
        <v>242</v>
      </c>
      <c r="M32" s="46"/>
      <c r="N32" s="46"/>
      <c r="O32" s="46"/>
      <c r="P32" s="46"/>
      <c r="Q32" s="46"/>
      <c r="R32" s="46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6" t="s">
        <v>146</v>
      </c>
      <c r="C33" s="56" t="s">
        <v>243</v>
      </c>
      <c r="D33" s="56" t="s">
        <v>160</v>
      </c>
      <c r="E33" s="102" t="s">
        <v>244</v>
      </c>
      <c r="F33" s="56" t="s">
        <v>148</v>
      </c>
      <c r="G33" s="56"/>
      <c r="H33" s="56" t="s">
        <v>3</v>
      </c>
      <c r="I33" s="56" t="s">
        <v>133</v>
      </c>
      <c r="J33" s="56"/>
      <c r="K33" s="1"/>
      <c r="L33" s="95" t="s">
        <v>245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58" t="s">
        <v>294</v>
      </c>
      <c r="C34" s="76"/>
      <c r="D34" s="59"/>
      <c r="E34" s="65">
        <f t="shared" ref="E34:E54" si="11">C34-D34</f>
        <v>0</v>
      </c>
      <c r="F34" s="109"/>
      <c r="G34" s="78"/>
      <c r="H34" s="106" t="s">
        <v>246</v>
      </c>
      <c r="I34" s="65">
        <f>H20</f>
        <v>0</v>
      </c>
      <c r="J34" s="78"/>
      <c r="K34" s="1"/>
      <c r="L34" s="107" t="s">
        <v>247</v>
      </c>
      <c r="M34" s="108" t="s">
        <v>248</v>
      </c>
      <c r="N34" s="95" t="s">
        <v>249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58" t="s">
        <v>295</v>
      </c>
      <c r="C35" s="76"/>
      <c r="D35" s="59"/>
      <c r="E35" s="65">
        <f t="shared" si="11"/>
        <v>0</v>
      </c>
      <c r="F35" s="109"/>
      <c r="G35" s="78"/>
      <c r="H35" s="106" t="s">
        <v>183</v>
      </c>
      <c r="I35" s="65">
        <f>C16</f>
        <v>0</v>
      </c>
      <c r="J35" s="78"/>
      <c r="K35" s="1"/>
      <c r="L35" s="58" t="s">
        <v>250</v>
      </c>
      <c r="M35" s="52">
        <f>M23</f>
        <v>0</v>
      </c>
      <c r="N35" s="110" t="s">
        <v>251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58" t="s">
        <v>296</v>
      </c>
      <c r="C36" s="76"/>
      <c r="D36" s="59"/>
      <c r="E36" s="65">
        <f t="shared" si="11"/>
        <v>0</v>
      </c>
      <c r="F36" s="109"/>
      <c r="G36" s="78"/>
      <c r="H36" s="106" t="s">
        <v>185</v>
      </c>
      <c r="I36" s="65">
        <f>I34-I35</f>
        <v>0</v>
      </c>
      <c r="J36" s="78"/>
      <c r="K36" s="1"/>
      <c r="L36" s="58" t="s">
        <v>252</v>
      </c>
      <c r="M36" s="65">
        <f>IF(M34="支払い",M35,0)</f>
        <v>0</v>
      </c>
      <c r="N36" s="95" t="s">
        <v>253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0"/>
      <c r="C37" s="76"/>
      <c r="D37" s="59"/>
      <c r="E37" s="65">
        <f t="shared" si="11"/>
        <v>0</v>
      </c>
      <c r="F37" s="109"/>
      <c r="G37" s="78"/>
      <c r="H37" s="106" t="s">
        <v>254</v>
      </c>
      <c r="I37" s="96">
        <f>IF(I34=0,0,I36/I34)</f>
        <v>0</v>
      </c>
      <c r="J37" s="78"/>
      <c r="K37" s="1"/>
      <c r="L37" s="111" t="s">
        <v>255</v>
      </c>
      <c r="M37" s="112">
        <f>M35-M36</f>
        <v>0</v>
      </c>
      <c r="N37" s="95" t="s">
        <v>256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3"/>
      <c r="C38" s="76"/>
      <c r="D38" s="59"/>
      <c r="E38" s="65">
        <f t="shared" si="11"/>
        <v>0</v>
      </c>
      <c r="F38" s="109"/>
      <c r="G38" s="78"/>
      <c r="H38" s="106" t="s">
        <v>208</v>
      </c>
      <c r="I38" s="65">
        <f>C30</f>
        <v>312176.9333</v>
      </c>
      <c r="J38" s="78"/>
      <c r="K38" s="1"/>
      <c r="L38" s="58" t="s">
        <v>257</v>
      </c>
      <c r="M38" s="52">
        <f>'10月'!M39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0"/>
      <c r="C39" s="76"/>
      <c r="D39" s="59"/>
      <c r="E39" s="65">
        <f t="shared" si="11"/>
        <v>0</v>
      </c>
      <c r="F39" s="109"/>
      <c r="G39" s="78"/>
      <c r="H39" s="113" t="s">
        <v>223</v>
      </c>
      <c r="I39" s="114">
        <f>I36-I38</f>
        <v>-312176.9333</v>
      </c>
      <c r="J39" s="115"/>
      <c r="K39" s="1"/>
      <c r="L39" s="116" t="s">
        <v>258</v>
      </c>
      <c r="M39" s="117">
        <f>M38+M37</f>
        <v>0</v>
      </c>
      <c r="N39" s="95" t="s">
        <v>259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3"/>
      <c r="C40" s="76"/>
      <c r="D40" s="59"/>
      <c r="E40" s="65">
        <f t="shared" si="11"/>
        <v>0</v>
      </c>
      <c r="F40" s="109"/>
      <c r="G40" s="118"/>
      <c r="H40" s="118"/>
      <c r="I40" s="118"/>
      <c r="J40" s="1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0"/>
      <c r="C41" s="76"/>
      <c r="D41" s="59"/>
      <c r="E41" s="65">
        <f t="shared" si="11"/>
        <v>0</v>
      </c>
      <c r="F41" s="109"/>
      <c r="G41" s="118"/>
      <c r="H41" s="118"/>
      <c r="I41" s="118"/>
      <c r="J41" s="118"/>
      <c r="K41" s="1"/>
      <c r="L41" s="58" t="s">
        <v>260</v>
      </c>
      <c r="M41" s="59"/>
      <c r="N41" s="95" t="s">
        <v>261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3"/>
      <c r="C42" s="76"/>
      <c r="D42" s="59"/>
      <c r="E42" s="65">
        <f t="shared" si="11"/>
        <v>0</v>
      </c>
      <c r="F42" s="109"/>
      <c r="G42" s="118"/>
      <c r="H42" s="118"/>
      <c r="I42" s="118"/>
      <c r="J42" s="1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0"/>
      <c r="C43" s="76"/>
      <c r="D43" s="59"/>
      <c r="E43" s="65">
        <f t="shared" si="11"/>
        <v>0</v>
      </c>
      <c r="F43" s="109"/>
      <c r="G43" s="118"/>
      <c r="H43" s="118"/>
      <c r="I43" s="118"/>
      <c r="J43" s="1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3"/>
      <c r="C44" s="76"/>
      <c r="D44" s="59"/>
      <c r="E44" s="65">
        <f t="shared" si="11"/>
        <v>0</v>
      </c>
      <c r="F44" s="109"/>
      <c r="G44" s="118"/>
      <c r="H44" s="118"/>
      <c r="I44" s="118"/>
      <c r="J44" s="1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0"/>
      <c r="C45" s="76"/>
      <c r="D45" s="59"/>
      <c r="E45" s="65">
        <f t="shared" si="11"/>
        <v>0</v>
      </c>
      <c r="F45" s="109"/>
      <c r="G45" s="118"/>
      <c r="H45" s="118"/>
      <c r="I45" s="118"/>
      <c r="J45" s="1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3"/>
      <c r="C46" s="76"/>
      <c r="D46" s="59"/>
      <c r="E46" s="65">
        <f t="shared" si="11"/>
        <v>0</v>
      </c>
      <c r="F46" s="109"/>
      <c r="G46" s="118"/>
      <c r="H46" s="118"/>
      <c r="I46" s="118"/>
      <c r="J46" s="1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0"/>
      <c r="C47" s="76"/>
      <c r="D47" s="59"/>
      <c r="E47" s="65">
        <f t="shared" si="11"/>
        <v>0</v>
      </c>
      <c r="F47" s="109"/>
      <c r="G47" s="118"/>
      <c r="H47" s="118"/>
      <c r="I47" s="118"/>
      <c r="J47" s="1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3"/>
      <c r="C48" s="76"/>
      <c r="D48" s="59"/>
      <c r="E48" s="65">
        <f t="shared" si="11"/>
        <v>0</v>
      </c>
      <c r="F48" s="109"/>
      <c r="G48" s="118"/>
      <c r="H48" s="118"/>
      <c r="I48" s="118"/>
      <c r="J48" s="1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0"/>
      <c r="C49" s="76"/>
      <c r="D49" s="59"/>
      <c r="E49" s="65">
        <f t="shared" si="11"/>
        <v>0</v>
      </c>
      <c r="F49" s="109"/>
      <c r="G49" s="118"/>
      <c r="H49" s="118"/>
      <c r="I49" s="118"/>
      <c r="J49" s="1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3"/>
      <c r="C50" s="76"/>
      <c r="D50" s="59"/>
      <c r="E50" s="65">
        <f t="shared" si="11"/>
        <v>0</v>
      </c>
      <c r="F50" s="109"/>
      <c r="G50" s="118"/>
      <c r="H50" s="118"/>
      <c r="I50" s="118"/>
      <c r="J50" s="1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0"/>
      <c r="C51" s="76"/>
      <c r="D51" s="59"/>
      <c r="E51" s="65">
        <f t="shared" si="11"/>
        <v>0</v>
      </c>
      <c r="F51" s="109"/>
      <c r="G51" s="118"/>
      <c r="H51" s="118"/>
      <c r="I51" s="118"/>
      <c r="J51" s="1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3"/>
      <c r="C52" s="76"/>
      <c r="D52" s="59"/>
      <c r="E52" s="65">
        <f t="shared" si="11"/>
        <v>0</v>
      </c>
      <c r="F52" s="109"/>
      <c r="G52" s="118"/>
      <c r="H52" s="118"/>
      <c r="I52" s="118"/>
      <c r="J52" s="1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0"/>
      <c r="C53" s="76"/>
      <c r="D53" s="59"/>
      <c r="E53" s="65">
        <f t="shared" si="11"/>
        <v>0</v>
      </c>
      <c r="F53" s="109"/>
      <c r="G53" s="118"/>
      <c r="H53" s="118"/>
      <c r="I53" s="118"/>
      <c r="J53" s="1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2" t="s">
        <v>262</v>
      </c>
      <c r="C54" s="73">
        <f t="shared" ref="C54:D54" si="12">SUM(C34:C53)</f>
        <v>0</v>
      </c>
      <c r="D54" s="73">
        <f t="shared" si="12"/>
        <v>0</v>
      </c>
      <c r="E54" s="73">
        <f t="shared" si="11"/>
        <v>0</v>
      </c>
      <c r="F54" s="74"/>
      <c r="G54" s="118"/>
      <c r="H54" s="119"/>
      <c r="I54" s="120"/>
      <c r="J54" s="1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18"/>
      <c r="H55" s="119"/>
      <c r="I55" s="121"/>
      <c r="J55" s="1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2" t="s">
        <v>263</v>
      </c>
      <c r="C56" s="123">
        <f>C16+C30+D54</f>
        <v>312176.9333</v>
      </c>
      <c r="D56" s="124"/>
      <c r="E56" s="124"/>
      <c r="F56" s="1"/>
      <c r="G56" s="118"/>
      <c r="H56" s="119"/>
      <c r="I56" s="121"/>
      <c r="J56" s="1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18"/>
      <c r="H57" s="118"/>
      <c r="I57" s="118"/>
      <c r="J57" s="1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5" t="s">
        <v>264</v>
      </c>
      <c r="H58" s="46"/>
      <c r="I58" s="46"/>
      <c r="J58" s="4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6"/>
      <c r="H59" s="56" t="s">
        <v>3</v>
      </c>
      <c r="I59" s="56" t="s">
        <v>133</v>
      </c>
      <c r="J59" s="5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6"/>
      <c r="H60" s="127" t="s">
        <v>223</v>
      </c>
      <c r="I60" s="128">
        <f>I39</f>
        <v>-312176.9333</v>
      </c>
      <c r="J60" s="12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6"/>
      <c r="H61" s="127" t="s">
        <v>265</v>
      </c>
      <c r="I61" s="130">
        <f>C29</f>
        <v>14433.83333</v>
      </c>
      <c r="J61" s="131" t="s">
        <v>266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2"/>
      <c r="H62" s="72" t="s">
        <v>267</v>
      </c>
      <c r="I62" s="73">
        <f>I60+I61+M37-M41</f>
        <v>-297743.1</v>
      </c>
      <c r="J62" s="133" t="s">
        <v>268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18"/>
      <c r="H63" s="118"/>
      <c r="I63" s="118"/>
      <c r="J63" s="1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6"/>
      <c r="H64" s="127" t="s">
        <v>269</v>
      </c>
      <c r="I64" s="130">
        <f>D54</f>
        <v>0</v>
      </c>
      <c r="J64" s="131" t="s">
        <v>270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2"/>
      <c r="H65" s="72" t="s">
        <v>271</v>
      </c>
      <c r="I65" s="73">
        <f>-I64</f>
        <v>0</v>
      </c>
      <c r="J65" s="133" t="s">
        <v>272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18"/>
      <c r="H66" s="118"/>
      <c r="I66" s="118"/>
      <c r="J66" s="1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6"/>
      <c r="H67" s="127" t="s">
        <v>273</v>
      </c>
      <c r="I67" s="130" t="str">
        <f>C6</f>
        <v/>
      </c>
      <c r="J67" s="12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2"/>
      <c r="H68" s="72" t="s">
        <v>274</v>
      </c>
      <c r="I68" s="73" t="str">
        <f>I67</f>
        <v/>
      </c>
      <c r="J68" s="1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18"/>
      <c r="H69" s="118"/>
      <c r="I69" s="118"/>
      <c r="J69" s="1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3" t="s">
        <v>275</v>
      </c>
      <c r="H70" s="46"/>
      <c r="I70" s="46"/>
      <c r="J70" s="4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4"/>
      <c r="H71" s="58" t="s">
        <v>276</v>
      </c>
      <c r="I71" s="89">
        <f>C5</f>
        <v>1431360.1</v>
      </c>
      <c r="J71" s="13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4"/>
      <c r="H72" s="58" t="s">
        <v>277</v>
      </c>
      <c r="I72" s="104">
        <f>I62</f>
        <v>-297743.1</v>
      </c>
      <c r="J72" s="13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4"/>
      <c r="H73" s="58" t="s">
        <v>278</v>
      </c>
      <c r="I73" s="104">
        <f>I65</f>
        <v>0</v>
      </c>
      <c r="J73" s="1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4"/>
      <c r="H74" s="58" t="s">
        <v>279</v>
      </c>
      <c r="I74" s="104" t="str">
        <f>I68</f>
        <v/>
      </c>
      <c r="J74" s="1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6"/>
      <c r="H75" s="137" t="s">
        <v>280</v>
      </c>
      <c r="I75" s="138">
        <f>I71+I72+I73+I74</f>
        <v>1133617</v>
      </c>
      <c r="J75" s="139" t="s">
        <v>281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18"/>
      <c r="H76" s="118"/>
      <c r="I76" s="118"/>
      <c r="J76" s="1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18"/>
      <c r="H77" s="95" t="s">
        <v>282</v>
      </c>
      <c r="I77" s="118"/>
      <c r="J77" s="1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4"/>
      <c r="H78" s="140" t="s">
        <v>283</v>
      </c>
      <c r="I78" s="141">
        <f>I39</f>
        <v>-312176.9333</v>
      </c>
      <c r="J78" s="1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4"/>
      <c r="H79" s="140" t="s">
        <v>284</v>
      </c>
      <c r="I79" s="141">
        <f>I72+I73+I74</f>
        <v>-297743.1</v>
      </c>
      <c r="J79" s="1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2"/>
      <c r="H80" s="143" t="s">
        <v>285</v>
      </c>
      <c r="I80" s="144">
        <f>I79-I78</f>
        <v>14433.83333</v>
      </c>
      <c r="J80" s="143" t="s">
        <v>286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18"/>
      <c r="H81" s="118"/>
      <c r="I81" s="118"/>
      <c r="J81" s="1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6"/>
      <c r="H82" s="145" t="s">
        <v>287</v>
      </c>
      <c r="I82" s="146">
        <f>I75</f>
        <v>1133617</v>
      </c>
      <c r="J82" s="147" t="s">
        <v>288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48"/>
      <c r="H83" s="149" t="s">
        <v>289</v>
      </c>
      <c r="I83" s="150">
        <f>I75-M37</f>
        <v>1133617</v>
      </c>
      <c r="J83" s="151" t="s">
        <v>290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18"/>
      <c r="H84" s="118"/>
      <c r="I84" s="118"/>
      <c r="J84" s="1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4" t="s">
        <v>336</v>
      </c>
      <c r="K1" s="1"/>
      <c r="L1" s="1"/>
      <c r="M1" s="1"/>
      <c r="N1" s="1"/>
      <c r="O1" s="1"/>
      <c r="P1" s="1"/>
      <c r="Q1" s="1"/>
      <c r="R1" s="1"/>
      <c r="S1" s="1"/>
      <c r="T1" s="1"/>
      <c r="U1" s="45" t="s">
        <v>137</v>
      </c>
      <c r="V1" s="46"/>
      <c r="W1" s="46"/>
      <c r="X1" s="46"/>
      <c r="Y1" s="46"/>
      <c r="Z1" s="1"/>
    </row>
    <row r="2" ht="21.0" customHeight="1">
      <c r="A2" s="1"/>
      <c r="B2" s="47" t="s">
        <v>138</v>
      </c>
      <c r="C2" s="48">
        <f>I75</f>
        <v>835873.9</v>
      </c>
      <c r="D2" s="1"/>
      <c r="E2" s="49" t="s">
        <v>139</v>
      </c>
      <c r="F2" s="50">
        <f>C16+SUM(C20:C23)+SUM(C25:C28)+M36+D54+M41</f>
        <v>0</v>
      </c>
      <c r="G2" s="1"/>
      <c r="H2" s="49" t="s">
        <v>140</v>
      </c>
      <c r="I2" s="51">
        <f>I39</f>
        <v>-312176.9333</v>
      </c>
      <c r="J2" s="1"/>
      <c r="K2" s="1"/>
      <c r="L2" s="47" t="s">
        <v>141</v>
      </c>
      <c r="M2" s="52">
        <f>'1月'!C20+'1月'!C21+'1月'!C22+'1月'!C23+'1月'!C25</f>
        <v>0</v>
      </c>
      <c r="N2" s="1"/>
      <c r="O2" s="1"/>
      <c r="P2" s="1"/>
      <c r="Q2" s="1"/>
      <c r="R2" s="1"/>
      <c r="S2" s="1"/>
      <c r="T2" s="1"/>
      <c r="U2" s="3" t="s">
        <v>142</v>
      </c>
      <c r="Z2" s="1"/>
    </row>
    <row r="3" ht="15.0" customHeight="1">
      <c r="A3" s="1"/>
      <c r="B3" s="53" t="s">
        <v>143</v>
      </c>
      <c r="C3" s="46"/>
      <c r="D3" s="46"/>
      <c r="E3" s="46"/>
      <c r="F3" s="1"/>
      <c r="G3" s="54" t="s">
        <v>144</v>
      </c>
      <c r="H3" s="46"/>
      <c r="I3" s="46"/>
      <c r="J3" s="46"/>
      <c r="K3" s="1"/>
      <c r="L3" s="55" t="s">
        <v>145</v>
      </c>
      <c r="M3" s="46"/>
      <c r="N3" s="46"/>
      <c r="O3" s="46"/>
      <c r="P3" s="46"/>
      <c r="Q3" s="46"/>
      <c r="R3" s="46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6" t="s">
        <v>146</v>
      </c>
      <c r="C4" s="56" t="s">
        <v>133</v>
      </c>
      <c r="D4" s="56" t="s">
        <v>147</v>
      </c>
      <c r="E4" s="56" t="s">
        <v>148</v>
      </c>
      <c r="F4" s="1"/>
      <c r="G4" s="56" t="s">
        <v>70</v>
      </c>
      <c r="H4" s="56" t="s">
        <v>133</v>
      </c>
      <c r="I4" s="56" t="s">
        <v>147</v>
      </c>
      <c r="J4" s="56" t="s">
        <v>148</v>
      </c>
      <c r="K4" s="1"/>
      <c r="L4" s="56" t="s">
        <v>149</v>
      </c>
      <c r="M4" s="56" t="s">
        <v>150</v>
      </c>
      <c r="N4" s="56" t="s">
        <v>151</v>
      </c>
      <c r="O4" s="56" t="s">
        <v>152</v>
      </c>
      <c r="P4" s="56" t="s">
        <v>153</v>
      </c>
      <c r="Q4" s="56" t="s">
        <v>154</v>
      </c>
      <c r="R4" s="56" t="s">
        <v>155</v>
      </c>
      <c r="S4" s="1"/>
      <c r="T4" s="1"/>
      <c r="U4" s="57" t="s">
        <v>156</v>
      </c>
      <c r="V4" s="46"/>
      <c r="W4" s="46"/>
      <c r="X4" s="46"/>
      <c r="Y4" s="46"/>
      <c r="Z4" s="1"/>
    </row>
    <row r="5" ht="15.0" customHeight="1">
      <c r="A5" s="1"/>
      <c r="B5" s="58" t="s">
        <v>292</v>
      </c>
      <c r="C5" s="52">
        <f>'11月'!I75</f>
        <v>1133617</v>
      </c>
      <c r="D5" s="60"/>
      <c r="E5" s="152"/>
      <c r="F5" s="1"/>
      <c r="G5" s="58" t="s">
        <v>158</v>
      </c>
      <c r="H5" s="52">
        <f>'12月日次売上'!C35</f>
        <v>0</v>
      </c>
      <c r="I5" s="60"/>
      <c r="J5" s="152"/>
      <c r="K5" s="1"/>
      <c r="L5" s="60"/>
      <c r="M5" s="59"/>
      <c r="N5" s="63"/>
      <c r="O5" s="64"/>
      <c r="P5" s="59"/>
      <c r="Q5" s="65">
        <f t="shared" ref="Q5:Q12" si="1">M5*N5*O5</f>
        <v>0</v>
      </c>
      <c r="R5" s="65">
        <f t="shared" ref="R5:R12" si="2">P5*N5</f>
        <v>0</v>
      </c>
      <c r="S5" s="1"/>
      <c r="T5" s="1"/>
      <c r="U5" s="66" t="s">
        <v>3</v>
      </c>
      <c r="V5" s="67" t="s">
        <v>159</v>
      </c>
      <c r="W5" s="67" t="s">
        <v>160</v>
      </c>
      <c r="X5" s="67" t="s">
        <v>161</v>
      </c>
      <c r="Y5" s="66" t="s">
        <v>162</v>
      </c>
      <c r="Z5" s="1"/>
    </row>
    <row r="6" ht="15.0" customHeight="1">
      <c r="A6" s="1"/>
      <c r="B6" s="58" t="s">
        <v>163</v>
      </c>
      <c r="C6" s="59"/>
      <c r="D6" s="60"/>
      <c r="E6" s="152"/>
      <c r="F6" s="1"/>
      <c r="G6" s="58" t="s">
        <v>164</v>
      </c>
      <c r="H6" s="52">
        <f>'12月日次売上'!D35</f>
        <v>0</v>
      </c>
      <c r="I6" s="60"/>
      <c r="J6" s="152"/>
      <c r="K6" s="1"/>
      <c r="L6" s="60"/>
      <c r="M6" s="59"/>
      <c r="N6" s="63"/>
      <c r="O6" s="64"/>
      <c r="P6" s="59"/>
      <c r="Q6" s="65">
        <f t="shared" si="1"/>
        <v>0</v>
      </c>
      <c r="R6" s="65">
        <f t="shared" si="2"/>
        <v>0</v>
      </c>
      <c r="S6" s="1"/>
      <c r="T6" s="1"/>
      <c r="U6" s="6" t="s">
        <v>165</v>
      </c>
      <c r="V6" s="69">
        <f>'売上計画'!K38</f>
        <v>17</v>
      </c>
      <c r="W6" s="70">
        <f>IF(H26=0,"",H24/H26/2)</f>
        <v>0</v>
      </c>
      <c r="X6" s="69">
        <f t="shared" ref="X6:X7" si="3">IF(W6="",0,W6-V6)</f>
        <v>-17</v>
      </c>
      <c r="Y6" s="71">
        <f t="shared" ref="Y6:Y7" si="4">IF(OR(W6="",V6=0),0,W6/V6)</f>
        <v>0</v>
      </c>
      <c r="Z6" s="1"/>
    </row>
    <row r="7" ht="15.0" customHeight="1">
      <c r="A7" s="1"/>
      <c r="B7" s="72" t="s">
        <v>166</v>
      </c>
      <c r="C7" s="73">
        <f>SUM(C5:C6)</f>
        <v>1133617</v>
      </c>
      <c r="D7" s="74"/>
      <c r="E7" s="74"/>
      <c r="F7" s="1"/>
      <c r="G7" s="58" t="s">
        <v>167</v>
      </c>
      <c r="H7" s="52">
        <f>'12月日次売上'!E35</f>
        <v>0</v>
      </c>
      <c r="I7" s="60"/>
      <c r="J7" s="152"/>
      <c r="K7" s="1"/>
      <c r="L7" s="60"/>
      <c r="M7" s="59"/>
      <c r="N7" s="63"/>
      <c r="O7" s="64"/>
      <c r="P7" s="59"/>
      <c r="Q7" s="65">
        <f t="shared" si="1"/>
        <v>0</v>
      </c>
      <c r="R7" s="65">
        <f t="shared" si="2"/>
        <v>0</v>
      </c>
      <c r="S7" s="1"/>
      <c r="T7" s="1"/>
      <c r="U7" s="6" t="s">
        <v>168</v>
      </c>
      <c r="V7" s="69">
        <f>'売上計画'!K39</f>
        <v>23</v>
      </c>
      <c r="W7" s="70">
        <f>IF(H26=0,"",H24/H26/2)</f>
        <v>0</v>
      </c>
      <c r="X7" s="69">
        <f t="shared" si="3"/>
        <v>-23</v>
      </c>
      <c r="Y7" s="71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58" t="s">
        <v>169</v>
      </c>
      <c r="H8" s="52">
        <f>'12月日次売上'!F35</f>
        <v>0</v>
      </c>
      <c r="I8" s="60"/>
      <c r="J8" s="152"/>
      <c r="K8" s="1"/>
      <c r="L8" s="60"/>
      <c r="M8" s="59"/>
      <c r="N8" s="63"/>
      <c r="O8" s="64"/>
      <c r="P8" s="59"/>
      <c r="Q8" s="65">
        <f t="shared" si="1"/>
        <v>0</v>
      </c>
      <c r="R8" s="65">
        <f t="shared" si="2"/>
        <v>0</v>
      </c>
      <c r="S8" s="1"/>
      <c r="T8" s="1"/>
      <c r="U8" s="6" t="s">
        <v>170</v>
      </c>
      <c r="V8" s="69">
        <f>'売上計画'!K45</f>
        <v>1731350</v>
      </c>
      <c r="W8" s="69">
        <f>H20</f>
        <v>0</v>
      </c>
      <c r="X8" s="69">
        <f t="shared" ref="X8:X9" si="5">W8-V8</f>
        <v>-1731350</v>
      </c>
      <c r="Y8" s="71">
        <f t="shared" ref="Y8:Y9" si="6">IF(V8=0,0,W8/V8)</f>
        <v>0</v>
      </c>
      <c r="Z8" s="1"/>
    </row>
    <row r="9" ht="15.0" customHeight="1">
      <c r="A9" s="1"/>
      <c r="B9" s="75" t="s">
        <v>171</v>
      </c>
      <c r="C9" s="46"/>
      <c r="D9" s="46"/>
      <c r="E9" s="46"/>
      <c r="F9" s="1"/>
      <c r="G9" s="58" t="s">
        <v>172</v>
      </c>
      <c r="H9" s="52">
        <f>'12月日次売上'!G35</f>
        <v>0</v>
      </c>
      <c r="I9" s="60"/>
      <c r="J9" s="152"/>
      <c r="K9" s="1"/>
      <c r="L9" s="60"/>
      <c r="M9" s="59"/>
      <c r="N9" s="63"/>
      <c r="O9" s="64"/>
      <c r="P9" s="59"/>
      <c r="Q9" s="65">
        <f t="shared" si="1"/>
        <v>0</v>
      </c>
      <c r="R9" s="65">
        <f t="shared" si="2"/>
        <v>0</v>
      </c>
      <c r="S9" s="1"/>
      <c r="T9" s="1"/>
      <c r="U9" s="6" t="s">
        <v>173</v>
      </c>
      <c r="V9" s="69">
        <f>IF((V6*'売上計画'!$C$7+V7*'売上計画'!$C$8)=0,0,V8/(V6*'売上計画'!$C$7+V7*'売上計画'!$C$8))</f>
        <v>1442.791667</v>
      </c>
      <c r="W9" s="69">
        <f>H25</f>
        <v>0</v>
      </c>
      <c r="X9" s="69">
        <f t="shared" si="5"/>
        <v>-1442.791667</v>
      </c>
      <c r="Y9" s="71">
        <f t="shared" si="6"/>
        <v>0</v>
      </c>
      <c r="Z9" s="1"/>
    </row>
    <row r="10" ht="15.0" customHeight="1">
      <c r="A10" s="1"/>
      <c r="B10" s="56" t="s">
        <v>146</v>
      </c>
      <c r="C10" s="56" t="s">
        <v>133</v>
      </c>
      <c r="D10" s="56" t="s">
        <v>147</v>
      </c>
      <c r="E10" s="56" t="s">
        <v>148</v>
      </c>
      <c r="F10" s="1"/>
      <c r="G10" s="58" t="s">
        <v>174</v>
      </c>
      <c r="H10" s="52">
        <f>'12月日次売上'!H35</f>
        <v>0</v>
      </c>
      <c r="I10" s="60"/>
      <c r="J10" s="152"/>
      <c r="K10" s="1"/>
      <c r="L10" s="60"/>
      <c r="M10" s="59"/>
      <c r="N10" s="63"/>
      <c r="O10" s="64"/>
      <c r="P10" s="59"/>
      <c r="Q10" s="65">
        <f t="shared" si="1"/>
        <v>0</v>
      </c>
      <c r="R10" s="65">
        <f t="shared" si="2"/>
        <v>0</v>
      </c>
      <c r="S10" s="1"/>
      <c r="T10" s="1"/>
      <c r="U10" s="1"/>
      <c r="V10" s="70"/>
      <c r="W10" s="70"/>
      <c r="X10" s="70"/>
      <c r="Y10" s="1"/>
      <c r="Z10" s="1"/>
    </row>
    <row r="11" ht="15.0" customHeight="1">
      <c r="A11" s="1"/>
      <c r="B11" s="58" t="s">
        <v>175</v>
      </c>
      <c r="C11" s="76">
        <f>SUMIFS('freee実績'!$E:$E,'freee実績'!$B:$B,"2026-12",'freee実績'!$C:$C,"仕入高",'freee実績'!$D:$D,"コーヒー豆・茶葉")</f>
        <v>0</v>
      </c>
      <c r="D11" s="60"/>
      <c r="E11" s="152"/>
      <c r="F11" s="1"/>
      <c r="G11" s="72" t="s">
        <v>176</v>
      </c>
      <c r="H11" s="73">
        <f>SUM(H5:H10)</f>
        <v>0</v>
      </c>
      <c r="I11" s="74"/>
      <c r="J11" s="74"/>
      <c r="K11" s="1"/>
      <c r="L11" s="60"/>
      <c r="M11" s="59"/>
      <c r="N11" s="63"/>
      <c r="O11" s="64"/>
      <c r="P11" s="59"/>
      <c r="Q11" s="65">
        <f t="shared" si="1"/>
        <v>0</v>
      </c>
      <c r="R11" s="65">
        <f t="shared" si="2"/>
        <v>0</v>
      </c>
      <c r="S11" s="1"/>
      <c r="T11" s="1"/>
      <c r="U11" s="57" t="s">
        <v>177</v>
      </c>
      <c r="V11" s="46"/>
      <c r="W11" s="46"/>
      <c r="X11" s="46"/>
      <c r="Y11" s="46"/>
      <c r="Z11" s="1"/>
    </row>
    <row r="12" ht="15.0" customHeight="1">
      <c r="A12" s="1"/>
      <c r="B12" s="58" t="s">
        <v>178</v>
      </c>
      <c r="C12" s="76">
        <f>SUMIFS('freee実績'!$E:$E,'freee実績'!$B:$B,"2026-12",'freee実績'!$C:$C,"仕入高",'freee実績'!$D:$D,"牛乳・シロップ等")</f>
        <v>0</v>
      </c>
      <c r="D12" s="60"/>
      <c r="E12" s="152"/>
      <c r="F12" s="1"/>
      <c r="G12" s="1"/>
      <c r="H12" s="1"/>
      <c r="I12" s="1"/>
      <c r="J12" s="1"/>
      <c r="K12" s="1"/>
      <c r="L12" s="60"/>
      <c r="M12" s="59"/>
      <c r="N12" s="63"/>
      <c r="O12" s="64"/>
      <c r="P12" s="59"/>
      <c r="Q12" s="65">
        <f t="shared" si="1"/>
        <v>0</v>
      </c>
      <c r="R12" s="65">
        <f t="shared" si="2"/>
        <v>0</v>
      </c>
      <c r="S12" s="1"/>
      <c r="T12" s="1"/>
      <c r="U12" s="66" t="s">
        <v>3</v>
      </c>
      <c r="V12" s="67" t="s">
        <v>159</v>
      </c>
      <c r="W12" s="67" t="s">
        <v>160</v>
      </c>
      <c r="X12" s="67" t="s">
        <v>161</v>
      </c>
      <c r="Y12" s="66" t="s">
        <v>179</v>
      </c>
      <c r="Z12" s="1"/>
    </row>
    <row r="13" ht="15.0" customHeight="1">
      <c r="A13" s="1"/>
      <c r="B13" s="58" t="s">
        <v>180</v>
      </c>
      <c r="C13" s="76">
        <f>SUMIFS('freee実績'!$E:$E,'freee実績'!$B:$B,"2026-12",'freee実績'!$C:$C,"仕入高",'freee実績'!$D:$D,"フード材料費")</f>
        <v>0</v>
      </c>
      <c r="D13" s="60"/>
      <c r="E13" s="152"/>
      <c r="F13" s="1"/>
      <c r="G13" s="54" t="s">
        <v>181</v>
      </c>
      <c r="H13" s="46"/>
      <c r="I13" s="46"/>
      <c r="J13" s="46"/>
      <c r="K13" s="1"/>
      <c r="L13" s="72" t="s">
        <v>182</v>
      </c>
      <c r="M13" s="74"/>
      <c r="N13" s="74"/>
      <c r="O13" s="74"/>
      <c r="P13" s="74"/>
      <c r="Q13" s="73">
        <f t="shared" ref="Q13:R13" si="7">SUM(Q5:Q12)</f>
        <v>0</v>
      </c>
      <c r="R13" s="73">
        <f t="shared" si="7"/>
        <v>0</v>
      </c>
      <c r="S13" s="1"/>
      <c r="T13" s="1"/>
      <c r="U13" s="6" t="s">
        <v>183</v>
      </c>
      <c r="V13" s="69">
        <f>'売上計画'!K46</f>
        <v>519405</v>
      </c>
      <c r="W13" s="69">
        <f>C16</f>
        <v>0</v>
      </c>
      <c r="X13" s="69">
        <f t="shared" ref="X13:X14" si="8">W13-V13</f>
        <v>-519405</v>
      </c>
      <c r="Y13" s="71">
        <f>IF(W8=0,0,W13/W8)</f>
        <v>0</v>
      </c>
      <c r="Z13" s="1"/>
    </row>
    <row r="14" ht="15.0" customHeight="1">
      <c r="A14" s="1"/>
      <c r="B14" s="58" t="s">
        <v>184</v>
      </c>
      <c r="C14" s="76">
        <f>SUMIFS('freee実績'!$E:$E,'freee実績'!$B:$B,"2026-12",'freee実績'!$C:$C,"仕入高",'freee実績'!$D:$D,"包装資材・消耗品")</f>
        <v>0</v>
      </c>
      <c r="D14" s="60"/>
      <c r="E14" s="152"/>
      <c r="F14" s="1"/>
      <c r="G14" s="56" t="s">
        <v>70</v>
      </c>
      <c r="H14" s="56" t="s">
        <v>133</v>
      </c>
      <c r="I14" s="56" t="s">
        <v>147</v>
      </c>
      <c r="J14" s="56" t="s">
        <v>148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185</v>
      </c>
      <c r="V14" s="69">
        <f>'売上計画'!K47</f>
        <v>1211945</v>
      </c>
      <c r="W14" s="69">
        <f>H20-C16</f>
        <v>0</v>
      </c>
      <c r="X14" s="69">
        <f t="shared" si="8"/>
        <v>-1211945</v>
      </c>
      <c r="Y14" s="71">
        <f>IF(W8=0,0,W14/W8)</f>
        <v>0</v>
      </c>
      <c r="Z14" s="1"/>
    </row>
    <row r="15" ht="15.0" customHeight="1">
      <c r="A15" s="1"/>
      <c r="B15" s="58" t="s">
        <v>186</v>
      </c>
      <c r="C15" s="76">
        <f>SUMIFS('freee実績'!$E:$E,'freee実績'!$B:$B,"2026-12",'freee実績'!$C:$C,"仕入高",'freee実績'!$D:$D,"その他原価")</f>
        <v>0</v>
      </c>
      <c r="D15" s="60"/>
      <c r="E15" s="152"/>
      <c r="F15" s="1"/>
      <c r="G15" s="58" t="s">
        <v>187</v>
      </c>
      <c r="H15" s="52">
        <f>'12月日次売上'!I35</f>
        <v>0</v>
      </c>
      <c r="I15" s="60"/>
      <c r="J15" s="152"/>
      <c r="K15" s="1"/>
      <c r="L15" s="77" t="s">
        <v>188</v>
      </c>
      <c r="M15" s="46"/>
      <c r="N15" s="46"/>
      <c r="O15" s="46"/>
      <c r="P15" s="46"/>
      <c r="Q15" s="46"/>
      <c r="R15" s="46"/>
      <c r="S15" s="1"/>
      <c r="T15" s="1"/>
      <c r="U15" s="1"/>
      <c r="V15" s="70"/>
      <c r="W15" s="70"/>
      <c r="X15" s="70"/>
      <c r="Y15" s="1"/>
      <c r="Z15" s="1"/>
    </row>
    <row r="16" ht="15.0" customHeight="1">
      <c r="A16" s="1"/>
      <c r="B16" s="72" t="s">
        <v>189</v>
      </c>
      <c r="C16" s="73">
        <f>SUM(C11:C15)</f>
        <v>0</v>
      </c>
      <c r="D16" s="74"/>
      <c r="E16" s="74"/>
      <c r="F16" s="1"/>
      <c r="G16" s="58" t="s">
        <v>190</v>
      </c>
      <c r="H16" s="76"/>
      <c r="I16" s="60"/>
      <c r="J16" s="152"/>
      <c r="K16" s="1"/>
      <c r="L16" s="56" t="s">
        <v>3</v>
      </c>
      <c r="M16" s="56" t="s">
        <v>191</v>
      </c>
      <c r="N16" s="56"/>
      <c r="O16" s="56"/>
      <c r="P16" s="56"/>
      <c r="Q16" s="56"/>
      <c r="R16" s="56" t="s">
        <v>5</v>
      </c>
      <c r="S16" s="1"/>
      <c r="T16" s="1"/>
      <c r="U16" s="57" t="s">
        <v>192</v>
      </c>
      <c r="V16" s="46"/>
      <c r="W16" s="46"/>
      <c r="X16" s="46"/>
      <c r="Y16" s="46"/>
      <c r="Z16" s="1"/>
    </row>
    <row r="17" ht="15.0" customHeight="1">
      <c r="A17" s="1"/>
      <c r="B17" s="1"/>
      <c r="C17" s="1"/>
      <c r="D17" s="1"/>
      <c r="E17" s="1"/>
      <c r="F17" s="1"/>
      <c r="G17" s="58" t="s">
        <v>193</v>
      </c>
      <c r="H17" s="76"/>
      <c r="I17" s="60"/>
      <c r="J17" s="152"/>
      <c r="K17" s="1"/>
      <c r="L17" s="58" t="s">
        <v>194</v>
      </c>
      <c r="M17" s="59"/>
      <c r="N17" s="78"/>
      <c r="O17" s="78"/>
      <c r="P17" s="78"/>
      <c r="Q17" s="78"/>
      <c r="R17" s="152"/>
      <c r="S17" s="1"/>
      <c r="T17" s="1"/>
      <c r="U17" s="66" t="s">
        <v>3</v>
      </c>
      <c r="V17" s="67" t="s">
        <v>159</v>
      </c>
      <c r="W17" s="67" t="s">
        <v>160</v>
      </c>
      <c r="X17" s="67" t="s">
        <v>161</v>
      </c>
      <c r="Y17" s="1"/>
      <c r="Z17" s="1"/>
    </row>
    <row r="18" ht="15.0" customHeight="1">
      <c r="A18" s="1"/>
      <c r="B18" s="77" t="s">
        <v>195</v>
      </c>
      <c r="C18" s="46"/>
      <c r="D18" s="46"/>
      <c r="E18" s="46"/>
      <c r="F18" s="1"/>
      <c r="G18" s="72" t="s">
        <v>196</v>
      </c>
      <c r="H18" s="73">
        <f>SUM(H15:H17)</f>
        <v>0</v>
      </c>
      <c r="I18" s="74"/>
      <c r="J18" s="74"/>
      <c r="K18" s="1"/>
      <c r="L18" s="58" t="s">
        <v>197</v>
      </c>
      <c r="M18" s="59"/>
      <c r="N18" s="78"/>
      <c r="O18" s="78"/>
      <c r="P18" s="78"/>
      <c r="Q18" s="78"/>
      <c r="R18" s="152"/>
      <c r="S18" s="1"/>
      <c r="T18" s="1"/>
      <c r="U18" s="6" t="s">
        <v>198</v>
      </c>
      <c r="V18" s="69">
        <f>'売上計画'!K54</f>
        <v>46.5</v>
      </c>
      <c r="W18" s="69">
        <f>C24</f>
        <v>297743.1</v>
      </c>
      <c r="X18" s="69">
        <f t="shared" ref="X18:X21" si="9">W18-V18</f>
        <v>297696.6</v>
      </c>
      <c r="Y18" s="1"/>
      <c r="Z18" s="1"/>
    </row>
    <row r="19" ht="15.0" customHeight="1">
      <c r="A19" s="1"/>
      <c r="B19" s="56" t="s">
        <v>146</v>
      </c>
      <c r="C19" s="56" t="s">
        <v>133</v>
      </c>
      <c r="D19" s="56" t="s">
        <v>147</v>
      </c>
      <c r="E19" s="56" t="s">
        <v>148</v>
      </c>
      <c r="F19" s="1"/>
      <c r="G19" s="1"/>
      <c r="H19" s="1"/>
      <c r="I19" s="1"/>
      <c r="J19" s="1"/>
      <c r="K19" s="1"/>
      <c r="L19" s="58" t="s">
        <v>199</v>
      </c>
      <c r="M19" s="59"/>
      <c r="N19" s="78"/>
      <c r="O19" s="78"/>
      <c r="P19" s="78"/>
      <c r="Q19" s="78"/>
      <c r="R19" s="152"/>
      <c r="S19" s="1"/>
      <c r="T19" s="1"/>
      <c r="U19" s="6" t="s">
        <v>200</v>
      </c>
      <c r="V19" s="69">
        <f>'売上計画'!K57</f>
        <v>583.5</v>
      </c>
      <c r="W19" s="69">
        <f>C20+C21+C22+C23</f>
        <v>0</v>
      </c>
      <c r="X19" s="69">
        <f t="shared" si="9"/>
        <v>-583.5</v>
      </c>
      <c r="Y19" s="1"/>
      <c r="Z19" s="1"/>
    </row>
    <row r="20" ht="15.0" customHeight="1">
      <c r="A20" s="1"/>
      <c r="B20" s="79" t="s">
        <v>201</v>
      </c>
      <c r="C20" s="80">
        <f>SUMIFS('freee実績'!$E:$E,'freee実績'!$B:$B,"2026-12",'freee実績'!$C:$C,"地代家賃")</f>
        <v>0</v>
      </c>
      <c r="D20" s="81" t="s">
        <v>202</v>
      </c>
      <c r="E20" s="152"/>
      <c r="F20" s="1"/>
      <c r="G20" s="82" t="s">
        <v>203</v>
      </c>
      <c r="H20" s="83">
        <f>H11+H18</f>
        <v>0</v>
      </c>
      <c r="I20" s="84"/>
      <c r="J20" s="84"/>
      <c r="K20" s="1"/>
      <c r="L20" s="58" t="s">
        <v>204</v>
      </c>
      <c r="M20" s="59"/>
      <c r="N20" s="78"/>
      <c r="O20" s="78"/>
      <c r="P20" s="78"/>
      <c r="Q20" s="78"/>
      <c r="R20" s="152"/>
      <c r="S20" s="1"/>
      <c r="T20" s="1"/>
      <c r="U20" s="6" t="s">
        <v>205</v>
      </c>
      <c r="V20" s="69">
        <f>'売上計画'!K58</f>
        <v>0</v>
      </c>
      <c r="W20" s="69">
        <f>C25</f>
        <v>0</v>
      </c>
      <c r="X20" s="69">
        <f t="shared" si="9"/>
        <v>0</v>
      </c>
      <c r="Y20" s="1"/>
      <c r="Z20" s="1"/>
    </row>
    <row r="21" ht="15.0" customHeight="1">
      <c r="A21" s="1"/>
      <c r="B21" s="79" t="s">
        <v>206</v>
      </c>
      <c r="C21" s="80">
        <f>SUMIFS('freee実績'!$E:$E,'freee実績'!$B:$B,"2026-12",'freee実績'!$C:$C,"水道光熱費")</f>
        <v>0</v>
      </c>
      <c r="D21" s="81" t="s">
        <v>202</v>
      </c>
      <c r="E21" s="152"/>
      <c r="F21" s="1"/>
      <c r="G21" s="1"/>
      <c r="H21" s="1"/>
      <c r="I21" s="1"/>
      <c r="J21" s="1"/>
      <c r="K21" s="1"/>
      <c r="L21" s="72" t="s">
        <v>207</v>
      </c>
      <c r="M21" s="73">
        <f>SUM(M17:M20)</f>
        <v>0</v>
      </c>
      <c r="N21" s="74"/>
      <c r="O21" s="74"/>
      <c r="P21" s="74"/>
      <c r="Q21" s="74"/>
      <c r="R21" s="74"/>
      <c r="S21" s="1"/>
      <c r="T21" s="1"/>
      <c r="U21" s="6" t="s">
        <v>208</v>
      </c>
      <c r="V21" s="69">
        <f>'売上計画'!K59</f>
        <v>0</v>
      </c>
      <c r="W21" s="69">
        <f>C30</f>
        <v>312176.9333</v>
      </c>
      <c r="X21" s="69">
        <f t="shared" si="9"/>
        <v>312176.9333</v>
      </c>
      <c r="Y21" s="1"/>
      <c r="Z21" s="1"/>
    </row>
    <row r="22" ht="16.5" customHeight="1">
      <c r="A22" s="1"/>
      <c r="B22" s="79" t="s">
        <v>209</v>
      </c>
      <c r="C22" s="80">
        <f>SUMIFS('freee実績'!$E:$E,'freee実績'!$B:$B,"2026-12",'freee実績'!$C:$C,"通信費")</f>
        <v>0</v>
      </c>
      <c r="D22" s="81" t="s">
        <v>202</v>
      </c>
      <c r="E22" s="152"/>
      <c r="F22" s="1"/>
      <c r="G22" s="85" t="s">
        <v>210</v>
      </c>
      <c r="H22" s="46"/>
      <c r="I22" s="46"/>
      <c r="J22" s="4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0"/>
      <c r="W22" s="70"/>
      <c r="X22" s="70"/>
      <c r="Y22" s="1"/>
      <c r="Z22" s="1"/>
    </row>
    <row r="23" ht="15.0" customHeight="1">
      <c r="A23" s="1"/>
      <c r="B23" s="79" t="s">
        <v>211</v>
      </c>
      <c r="C23" s="80">
        <f>SUMIFS('freee実績'!$E:$E,'freee実績'!$B:$B,"2026-12",'freee実績'!$C:$C,"保険料")</f>
        <v>0</v>
      </c>
      <c r="D23" s="81" t="s">
        <v>202</v>
      </c>
      <c r="E23" s="152"/>
      <c r="F23" s="1"/>
      <c r="G23" s="56" t="s">
        <v>212</v>
      </c>
      <c r="H23" s="56" t="s">
        <v>213</v>
      </c>
      <c r="I23" s="56"/>
      <c r="J23" s="56" t="s">
        <v>214</v>
      </c>
      <c r="K23" s="1"/>
      <c r="L23" s="86" t="s">
        <v>215</v>
      </c>
      <c r="M23" s="87">
        <f>Q13+R13+M21</f>
        <v>0</v>
      </c>
      <c r="N23" s="88"/>
      <c r="O23" s="88"/>
      <c r="P23" s="88"/>
      <c r="Q23" s="88"/>
      <c r="R23" s="88"/>
      <c r="S23" s="1"/>
      <c r="T23" s="1"/>
      <c r="U23" s="57" t="s">
        <v>216</v>
      </c>
      <c r="V23" s="46"/>
      <c r="W23" s="46"/>
      <c r="X23" s="46"/>
      <c r="Y23" s="46"/>
      <c r="Z23" s="1"/>
    </row>
    <row r="24" ht="15.0" customHeight="1">
      <c r="A24" s="1"/>
      <c r="B24" s="58" t="s">
        <v>217</v>
      </c>
      <c r="C24" s="89">
        <f>'役員報酬・社保'!C17+'役員報酬・社保'!D17+'役員報酬・社保'!E17+'役員報酬・社保'!F71+86400</f>
        <v>297743.1</v>
      </c>
      <c r="D24" s="90" t="s">
        <v>218</v>
      </c>
      <c r="E24" s="152"/>
      <c r="F24" s="1"/>
      <c r="G24" s="58" t="s">
        <v>219</v>
      </c>
      <c r="H24" s="91">
        <f>'12月日次売上'!J35</f>
        <v>0</v>
      </c>
      <c r="I24" s="78"/>
      <c r="J24" s="92"/>
      <c r="K24" s="1"/>
      <c r="L24" s="1"/>
      <c r="M24" s="1"/>
      <c r="N24" s="1"/>
      <c r="O24" s="1"/>
      <c r="P24" s="1"/>
      <c r="Q24" s="1"/>
      <c r="R24" s="1"/>
      <c r="S24" s="1"/>
      <c r="T24" s="1"/>
      <c r="U24" s="66" t="s">
        <v>3</v>
      </c>
      <c r="V24" s="67" t="s">
        <v>159</v>
      </c>
      <c r="W24" s="67" t="s">
        <v>160</v>
      </c>
      <c r="X24" s="67" t="s">
        <v>161</v>
      </c>
      <c r="Y24" s="66" t="s">
        <v>162</v>
      </c>
      <c r="Z24" s="1"/>
    </row>
    <row r="25" ht="15.0" customHeight="1">
      <c r="A25" s="1"/>
      <c r="B25" s="58" t="s">
        <v>220</v>
      </c>
      <c r="C25" s="93">
        <f>SUMIFS('freee実績'!$E:$E,'freee実績'!$B:$B,"2026-12",'freee実績'!$C:$C,"消耗品費")</f>
        <v>0</v>
      </c>
      <c r="D25" s="90" t="s">
        <v>218</v>
      </c>
      <c r="E25" s="152"/>
      <c r="F25" s="1"/>
      <c r="G25" s="58" t="s">
        <v>173</v>
      </c>
      <c r="H25" s="65">
        <f>IF(H24=0,0,H20/H24)</f>
        <v>0</v>
      </c>
      <c r="I25" s="78"/>
      <c r="J25" s="94" t="s">
        <v>221</v>
      </c>
      <c r="K25" s="1"/>
      <c r="L25" s="95" t="s">
        <v>222</v>
      </c>
      <c r="M25" s="1"/>
      <c r="N25" s="1"/>
      <c r="O25" s="1"/>
      <c r="P25" s="1"/>
      <c r="Q25" s="1"/>
      <c r="R25" s="1"/>
      <c r="S25" s="1"/>
      <c r="T25" s="1"/>
      <c r="U25" s="6" t="s">
        <v>223</v>
      </c>
      <c r="V25" s="69" t="str">
        <f>'売上計画'!K61</f>
        <v/>
      </c>
      <c r="W25" s="69">
        <f>I39</f>
        <v>-312176.9333</v>
      </c>
      <c r="X25" s="69">
        <f t="shared" ref="X25:X26" si="10">W25-V25</f>
        <v>-312176.9333</v>
      </c>
      <c r="Y25" s="71">
        <f>IF(V25=0,0,W25/V25)</f>
        <v>0</v>
      </c>
      <c r="Z25" s="1"/>
    </row>
    <row r="26" ht="15.0" customHeight="1">
      <c r="A26" s="1"/>
      <c r="B26" s="58" t="s">
        <v>224</v>
      </c>
      <c r="C26" s="93">
        <f>SUMIFS('freee実績'!$E:$E,'freee実績'!$B:$B,"2026-12",'freee実績'!$C:$C,"広告宣伝費")</f>
        <v>0</v>
      </c>
      <c r="D26" s="90" t="s">
        <v>218</v>
      </c>
      <c r="E26" s="152"/>
      <c r="F26" s="1"/>
      <c r="G26" s="58" t="s">
        <v>225</v>
      </c>
      <c r="H26" s="63">
        <v>31.0</v>
      </c>
      <c r="I26" s="78"/>
      <c r="J26" s="92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226</v>
      </c>
      <c r="V26" s="71">
        <f>'売上計画'!K62</f>
        <v>851945</v>
      </c>
      <c r="W26" s="71">
        <f>IF(W8=0,0,W25/W8)</f>
        <v>0</v>
      </c>
      <c r="X26" s="71">
        <f t="shared" si="10"/>
        <v>-851945</v>
      </c>
      <c r="Y26" s="1"/>
      <c r="Z26" s="1"/>
    </row>
    <row r="27" ht="15.0" customHeight="1">
      <c r="A27" s="1"/>
      <c r="B27" s="58" t="s">
        <v>227</v>
      </c>
      <c r="C27" s="93">
        <f>SUMIFS('freee実績'!$E:$E,'freee実績'!$B:$B,"2026-12",'freee実績'!$C:$C,"修繕費")</f>
        <v>0</v>
      </c>
      <c r="D27" s="90" t="s">
        <v>218</v>
      </c>
      <c r="E27" s="152"/>
      <c r="F27" s="1"/>
      <c r="G27" s="58" t="s">
        <v>228</v>
      </c>
      <c r="H27" s="65">
        <f>IF(H26=0,0,H20/H26)</f>
        <v>0</v>
      </c>
      <c r="I27" s="78"/>
      <c r="J27" s="94" t="s">
        <v>229</v>
      </c>
      <c r="K27" s="1"/>
      <c r="L27" s="85" t="s">
        <v>230</v>
      </c>
      <c r="M27" s="46"/>
      <c r="N27" s="46"/>
      <c r="O27" s="46"/>
      <c r="P27" s="46"/>
      <c r="Q27" s="46"/>
      <c r="R27" s="46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8" t="s">
        <v>231</v>
      </c>
      <c r="C28" s="93">
        <f>SUMIFS('freee実績'!$E:$E,'freee実績'!$B:$B,"2026-12",'freee実績'!$C:$C,"雑費")</f>
        <v>0</v>
      </c>
      <c r="D28" s="90" t="s">
        <v>218</v>
      </c>
      <c r="E28" s="152"/>
      <c r="F28" s="1"/>
      <c r="G28" s="58" t="s">
        <v>179</v>
      </c>
      <c r="H28" s="96">
        <f>IF(H20=0,0,C16/H20)</f>
        <v>0</v>
      </c>
      <c r="I28" s="78"/>
      <c r="J28" s="94" t="s">
        <v>232</v>
      </c>
      <c r="K28" s="1"/>
      <c r="L28" s="56" t="s">
        <v>212</v>
      </c>
      <c r="M28" s="56" t="s">
        <v>213</v>
      </c>
      <c r="N28" s="56"/>
      <c r="O28" s="56"/>
      <c r="P28" s="56"/>
      <c r="Q28" s="56"/>
      <c r="R28" s="56" t="s">
        <v>214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97" t="s">
        <v>233</v>
      </c>
      <c r="C29" s="98">
        <f>'固定資産台帳'!T26</f>
        <v>14433.83333</v>
      </c>
      <c r="D29" s="99" t="s">
        <v>234</v>
      </c>
      <c r="E29" s="152"/>
      <c r="F29" s="1"/>
      <c r="G29" s="1"/>
      <c r="H29" s="1"/>
      <c r="I29" s="1"/>
      <c r="J29" s="1"/>
      <c r="K29" s="1"/>
      <c r="L29" s="58" t="s">
        <v>235</v>
      </c>
      <c r="M29" s="96">
        <f>IF(H20=0,0,M23/H20)</f>
        <v>0</v>
      </c>
      <c r="N29" s="78"/>
      <c r="O29" s="78"/>
      <c r="P29" s="78"/>
      <c r="Q29" s="78"/>
      <c r="R29" s="94" t="s">
        <v>236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2" t="s">
        <v>237</v>
      </c>
      <c r="C30" s="73">
        <f>SUM(C20:C29)</f>
        <v>312176.9333</v>
      </c>
      <c r="D30" s="74"/>
      <c r="E30" s="74"/>
      <c r="F30" s="1"/>
      <c r="G30" s="1"/>
      <c r="H30" s="1"/>
      <c r="I30" s="1"/>
      <c r="J30" s="1"/>
      <c r="K30" s="1"/>
      <c r="L30" s="58" t="s">
        <v>238</v>
      </c>
      <c r="M30" s="65">
        <f>IF((SUM(N5:N12)*SUM(O5:O12))=0,0,H20/(SUM(N5:N12)*SUM(O5:O12)))</f>
        <v>0</v>
      </c>
      <c r="N30" s="78"/>
      <c r="O30" s="78"/>
      <c r="P30" s="78"/>
      <c r="Q30" s="78"/>
      <c r="R30" s="94" t="s">
        <v>239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77" t="s">
        <v>240</v>
      </c>
      <c r="C32" s="46"/>
      <c r="D32" s="46"/>
      <c r="E32" s="46"/>
      <c r="F32" s="100"/>
      <c r="G32" s="53" t="s">
        <v>241</v>
      </c>
      <c r="H32" s="46"/>
      <c r="I32" s="46"/>
      <c r="J32" s="46"/>
      <c r="K32" s="1"/>
      <c r="L32" s="101" t="s">
        <v>242</v>
      </c>
      <c r="M32" s="46"/>
      <c r="N32" s="46"/>
      <c r="O32" s="46"/>
      <c r="P32" s="46"/>
      <c r="Q32" s="46"/>
      <c r="R32" s="46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6" t="s">
        <v>146</v>
      </c>
      <c r="C33" s="56" t="s">
        <v>243</v>
      </c>
      <c r="D33" s="56" t="s">
        <v>160</v>
      </c>
      <c r="E33" s="102" t="s">
        <v>244</v>
      </c>
      <c r="F33" s="56" t="s">
        <v>148</v>
      </c>
      <c r="G33" s="56"/>
      <c r="H33" s="56" t="s">
        <v>3</v>
      </c>
      <c r="I33" s="56" t="s">
        <v>133</v>
      </c>
      <c r="J33" s="56"/>
      <c r="K33" s="1"/>
      <c r="L33" s="95" t="s">
        <v>245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58" t="s">
        <v>294</v>
      </c>
      <c r="C34" s="76"/>
      <c r="D34" s="59"/>
      <c r="E34" s="65">
        <f t="shared" ref="E34:E54" si="11">C34-D34</f>
        <v>0</v>
      </c>
      <c r="F34" s="109"/>
      <c r="G34" s="78"/>
      <c r="H34" s="106" t="s">
        <v>246</v>
      </c>
      <c r="I34" s="65">
        <f>H20</f>
        <v>0</v>
      </c>
      <c r="J34" s="78"/>
      <c r="K34" s="1"/>
      <c r="L34" s="107" t="s">
        <v>247</v>
      </c>
      <c r="M34" s="108" t="s">
        <v>248</v>
      </c>
      <c r="N34" s="95" t="s">
        <v>249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58" t="s">
        <v>295</v>
      </c>
      <c r="C35" s="76"/>
      <c r="D35" s="59"/>
      <c r="E35" s="65">
        <f t="shared" si="11"/>
        <v>0</v>
      </c>
      <c r="F35" s="109"/>
      <c r="G35" s="78"/>
      <c r="H35" s="106" t="s">
        <v>183</v>
      </c>
      <c r="I35" s="65">
        <f>C16</f>
        <v>0</v>
      </c>
      <c r="J35" s="78"/>
      <c r="K35" s="1"/>
      <c r="L35" s="58" t="s">
        <v>250</v>
      </c>
      <c r="M35" s="52">
        <f>M23</f>
        <v>0</v>
      </c>
      <c r="N35" s="110" t="s">
        <v>251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58" t="s">
        <v>296</v>
      </c>
      <c r="C36" s="76"/>
      <c r="D36" s="59"/>
      <c r="E36" s="65">
        <f t="shared" si="11"/>
        <v>0</v>
      </c>
      <c r="F36" s="109"/>
      <c r="G36" s="78"/>
      <c r="H36" s="106" t="s">
        <v>185</v>
      </c>
      <c r="I36" s="65">
        <f>I34-I35</f>
        <v>0</v>
      </c>
      <c r="J36" s="78"/>
      <c r="K36" s="1"/>
      <c r="L36" s="58" t="s">
        <v>252</v>
      </c>
      <c r="M36" s="65">
        <f>IF(M34="支払い",M35,0)</f>
        <v>0</v>
      </c>
      <c r="N36" s="95" t="s">
        <v>253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0"/>
      <c r="C37" s="76"/>
      <c r="D37" s="59"/>
      <c r="E37" s="65">
        <f t="shared" si="11"/>
        <v>0</v>
      </c>
      <c r="F37" s="109"/>
      <c r="G37" s="78"/>
      <c r="H37" s="106" t="s">
        <v>254</v>
      </c>
      <c r="I37" s="96">
        <f>IF(I34=0,0,I36/I34)</f>
        <v>0</v>
      </c>
      <c r="J37" s="78"/>
      <c r="K37" s="1"/>
      <c r="L37" s="111" t="s">
        <v>255</v>
      </c>
      <c r="M37" s="112">
        <f>M35-M36</f>
        <v>0</v>
      </c>
      <c r="N37" s="95" t="s">
        <v>256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3"/>
      <c r="C38" s="76"/>
      <c r="D38" s="59"/>
      <c r="E38" s="65">
        <f t="shared" si="11"/>
        <v>0</v>
      </c>
      <c r="F38" s="109"/>
      <c r="G38" s="78"/>
      <c r="H38" s="106" t="s">
        <v>208</v>
      </c>
      <c r="I38" s="65">
        <f>C30</f>
        <v>312176.9333</v>
      </c>
      <c r="J38" s="78"/>
      <c r="K38" s="1"/>
      <c r="L38" s="58" t="s">
        <v>257</v>
      </c>
      <c r="M38" s="52">
        <f>'11月'!M39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0"/>
      <c r="C39" s="76"/>
      <c r="D39" s="59"/>
      <c r="E39" s="65">
        <f t="shared" si="11"/>
        <v>0</v>
      </c>
      <c r="F39" s="109"/>
      <c r="G39" s="78"/>
      <c r="H39" s="113" t="s">
        <v>223</v>
      </c>
      <c r="I39" s="114">
        <f>I36-I38</f>
        <v>-312176.9333</v>
      </c>
      <c r="J39" s="115"/>
      <c r="K39" s="1"/>
      <c r="L39" s="116" t="s">
        <v>258</v>
      </c>
      <c r="M39" s="117">
        <f>M38+M37</f>
        <v>0</v>
      </c>
      <c r="N39" s="95" t="s">
        <v>259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3"/>
      <c r="C40" s="76"/>
      <c r="D40" s="59"/>
      <c r="E40" s="65">
        <f t="shared" si="11"/>
        <v>0</v>
      </c>
      <c r="F40" s="109"/>
      <c r="G40" s="118"/>
      <c r="H40" s="118"/>
      <c r="I40" s="118"/>
      <c r="J40" s="1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0"/>
      <c r="C41" s="76"/>
      <c r="D41" s="59"/>
      <c r="E41" s="65">
        <f t="shared" si="11"/>
        <v>0</v>
      </c>
      <c r="F41" s="109"/>
      <c r="G41" s="118"/>
      <c r="H41" s="118"/>
      <c r="I41" s="118"/>
      <c r="J41" s="118"/>
      <c r="K41" s="1"/>
      <c r="L41" s="58" t="s">
        <v>260</v>
      </c>
      <c r="M41" s="59"/>
      <c r="N41" s="95" t="s">
        <v>261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3"/>
      <c r="C42" s="76"/>
      <c r="D42" s="59"/>
      <c r="E42" s="65">
        <f t="shared" si="11"/>
        <v>0</v>
      </c>
      <c r="F42" s="109"/>
      <c r="G42" s="118"/>
      <c r="H42" s="118"/>
      <c r="I42" s="118"/>
      <c r="J42" s="1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0"/>
      <c r="C43" s="76"/>
      <c r="D43" s="59"/>
      <c r="E43" s="65">
        <f t="shared" si="11"/>
        <v>0</v>
      </c>
      <c r="F43" s="109"/>
      <c r="G43" s="118"/>
      <c r="H43" s="118"/>
      <c r="I43" s="118"/>
      <c r="J43" s="1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3"/>
      <c r="C44" s="76"/>
      <c r="D44" s="59"/>
      <c r="E44" s="65">
        <f t="shared" si="11"/>
        <v>0</v>
      </c>
      <c r="F44" s="109"/>
      <c r="G44" s="118"/>
      <c r="H44" s="118"/>
      <c r="I44" s="118"/>
      <c r="J44" s="1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0"/>
      <c r="C45" s="76"/>
      <c r="D45" s="59"/>
      <c r="E45" s="65">
        <f t="shared" si="11"/>
        <v>0</v>
      </c>
      <c r="F45" s="109"/>
      <c r="G45" s="118"/>
      <c r="H45" s="118"/>
      <c r="I45" s="118"/>
      <c r="J45" s="1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3"/>
      <c r="C46" s="76"/>
      <c r="D46" s="59"/>
      <c r="E46" s="65">
        <f t="shared" si="11"/>
        <v>0</v>
      </c>
      <c r="F46" s="109"/>
      <c r="G46" s="118"/>
      <c r="H46" s="118"/>
      <c r="I46" s="118"/>
      <c r="J46" s="1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0"/>
      <c r="C47" s="76"/>
      <c r="D47" s="59"/>
      <c r="E47" s="65">
        <f t="shared" si="11"/>
        <v>0</v>
      </c>
      <c r="F47" s="109"/>
      <c r="G47" s="118"/>
      <c r="H47" s="118"/>
      <c r="I47" s="118"/>
      <c r="J47" s="1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3"/>
      <c r="C48" s="76"/>
      <c r="D48" s="59"/>
      <c r="E48" s="65">
        <f t="shared" si="11"/>
        <v>0</v>
      </c>
      <c r="F48" s="109"/>
      <c r="G48" s="118"/>
      <c r="H48" s="118"/>
      <c r="I48" s="118"/>
      <c r="J48" s="1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0"/>
      <c r="C49" s="76"/>
      <c r="D49" s="59"/>
      <c r="E49" s="65">
        <f t="shared" si="11"/>
        <v>0</v>
      </c>
      <c r="F49" s="109"/>
      <c r="G49" s="118"/>
      <c r="H49" s="118"/>
      <c r="I49" s="118"/>
      <c r="J49" s="1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3"/>
      <c r="C50" s="76"/>
      <c r="D50" s="59"/>
      <c r="E50" s="65">
        <f t="shared" si="11"/>
        <v>0</v>
      </c>
      <c r="F50" s="109"/>
      <c r="G50" s="118"/>
      <c r="H50" s="118"/>
      <c r="I50" s="118"/>
      <c r="J50" s="1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0"/>
      <c r="C51" s="76"/>
      <c r="D51" s="59"/>
      <c r="E51" s="65">
        <f t="shared" si="11"/>
        <v>0</v>
      </c>
      <c r="F51" s="109"/>
      <c r="G51" s="118"/>
      <c r="H51" s="118"/>
      <c r="I51" s="118"/>
      <c r="J51" s="1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3"/>
      <c r="C52" s="76"/>
      <c r="D52" s="59"/>
      <c r="E52" s="65">
        <f t="shared" si="11"/>
        <v>0</v>
      </c>
      <c r="F52" s="109"/>
      <c r="G52" s="118"/>
      <c r="H52" s="118"/>
      <c r="I52" s="118"/>
      <c r="J52" s="1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0"/>
      <c r="C53" s="76"/>
      <c r="D53" s="59"/>
      <c r="E53" s="65">
        <f t="shared" si="11"/>
        <v>0</v>
      </c>
      <c r="F53" s="109"/>
      <c r="G53" s="118"/>
      <c r="H53" s="118"/>
      <c r="I53" s="118"/>
      <c r="J53" s="1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2" t="s">
        <v>262</v>
      </c>
      <c r="C54" s="73">
        <f t="shared" ref="C54:D54" si="12">SUM(C34:C53)</f>
        <v>0</v>
      </c>
      <c r="D54" s="73">
        <f t="shared" si="12"/>
        <v>0</v>
      </c>
      <c r="E54" s="73">
        <f t="shared" si="11"/>
        <v>0</v>
      </c>
      <c r="F54" s="74"/>
      <c r="G54" s="118"/>
      <c r="H54" s="119"/>
      <c r="I54" s="120"/>
      <c r="J54" s="1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18"/>
      <c r="H55" s="119"/>
      <c r="I55" s="121"/>
      <c r="J55" s="1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2" t="s">
        <v>263</v>
      </c>
      <c r="C56" s="123">
        <f>C16+C30+D54</f>
        <v>312176.9333</v>
      </c>
      <c r="D56" s="124"/>
      <c r="E56" s="124"/>
      <c r="F56" s="1"/>
      <c r="G56" s="118"/>
      <c r="H56" s="119"/>
      <c r="I56" s="121"/>
      <c r="J56" s="1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18"/>
      <c r="H57" s="118"/>
      <c r="I57" s="118"/>
      <c r="J57" s="1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5" t="s">
        <v>264</v>
      </c>
      <c r="H58" s="46"/>
      <c r="I58" s="46"/>
      <c r="J58" s="4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6"/>
      <c r="H59" s="56" t="s">
        <v>3</v>
      </c>
      <c r="I59" s="56" t="s">
        <v>133</v>
      </c>
      <c r="J59" s="5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6"/>
      <c r="H60" s="127" t="s">
        <v>223</v>
      </c>
      <c r="I60" s="128">
        <f>I39</f>
        <v>-312176.9333</v>
      </c>
      <c r="J60" s="12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6"/>
      <c r="H61" s="127" t="s">
        <v>265</v>
      </c>
      <c r="I61" s="130">
        <f>C29</f>
        <v>14433.83333</v>
      </c>
      <c r="J61" s="131" t="s">
        <v>266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2"/>
      <c r="H62" s="72" t="s">
        <v>267</v>
      </c>
      <c r="I62" s="73">
        <f>I60+I61+M37-M41</f>
        <v>-297743.1</v>
      </c>
      <c r="J62" s="133" t="s">
        <v>268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18"/>
      <c r="H63" s="118"/>
      <c r="I63" s="118"/>
      <c r="J63" s="1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6"/>
      <c r="H64" s="127" t="s">
        <v>269</v>
      </c>
      <c r="I64" s="130">
        <f>D54</f>
        <v>0</v>
      </c>
      <c r="J64" s="131" t="s">
        <v>270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2"/>
      <c r="H65" s="72" t="s">
        <v>271</v>
      </c>
      <c r="I65" s="73">
        <f>-I64</f>
        <v>0</v>
      </c>
      <c r="J65" s="133" t="s">
        <v>272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18"/>
      <c r="H66" s="118"/>
      <c r="I66" s="118"/>
      <c r="J66" s="1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6"/>
      <c r="H67" s="127" t="s">
        <v>273</v>
      </c>
      <c r="I67" s="130" t="str">
        <f>C6</f>
        <v/>
      </c>
      <c r="J67" s="12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2"/>
      <c r="H68" s="72" t="s">
        <v>274</v>
      </c>
      <c r="I68" s="73" t="str">
        <f>I67</f>
        <v/>
      </c>
      <c r="J68" s="1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18"/>
      <c r="H69" s="118"/>
      <c r="I69" s="118"/>
      <c r="J69" s="1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3" t="s">
        <v>275</v>
      </c>
      <c r="H70" s="46"/>
      <c r="I70" s="46"/>
      <c r="J70" s="4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4"/>
      <c r="H71" s="58" t="s">
        <v>276</v>
      </c>
      <c r="I71" s="89">
        <f>C5</f>
        <v>1133617</v>
      </c>
      <c r="J71" s="13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4"/>
      <c r="H72" s="58" t="s">
        <v>277</v>
      </c>
      <c r="I72" s="104">
        <f>I62</f>
        <v>-297743.1</v>
      </c>
      <c r="J72" s="13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4"/>
      <c r="H73" s="58" t="s">
        <v>278</v>
      </c>
      <c r="I73" s="104">
        <f>I65</f>
        <v>0</v>
      </c>
      <c r="J73" s="1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4"/>
      <c r="H74" s="58" t="s">
        <v>279</v>
      </c>
      <c r="I74" s="104" t="str">
        <f>I68</f>
        <v/>
      </c>
      <c r="J74" s="1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6"/>
      <c r="H75" s="137" t="s">
        <v>280</v>
      </c>
      <c r="I75" s="138">
        <f>I71+I72+I73+I74</f>
        <v>835873.9</v>
      </c>
      <c r="J75" s="139" t="s">
        <v>281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18"/>
      <c r="H76" s="118"/>
      <c r="I76" s="118"/>
      <c r="J76" s="1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18"/>
      <c r="H77" s="95" t="s">
        <v>282</v>
      </c>
      <c r="I77" s="118"/>
      <c r="J77" s="1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4"/>
      <c r="H78" s="140" t="s">
        <v>283</v>
      </c>
      <c r="I78" s="141">
        <f>I39</f>
        <v>-312176.9333</v>
      </c>
      <c r="J78" s="1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4"/>
      <c r="H79" s="140" t="s">
        <v>284</v>
      </c>
      <c r="I79" s="141">
        <f>I72+I73+I74</f>
        <v>-297743.1</v>
      </c>
      <c r="J79" s="1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2"/>
      <c r="H80" s="143" t="s">
        <v>285</v>
      </c>
      <c r="I80" s="144">
        <f>I79-I78</f>
        <v>14433.83333</v>
      </c>
      <c r="J80" s="143" t="s">
        <v>286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18"/>
      <c r="H81" s="118"/>
      <c r="I81" s="118"/>
      <c r="J81" s="1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6"/>
      <c r="H82" s="145" t="s">
        <v>287</v>
      </c>
      <c r="I82" s="146">
        <f>I75</f>
        <v>835873.9</v>
      </c>
      <c r="J82" s="147" t="s">
        <v>288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48"/>
      <c r="H83" s="149" t="s">
        <v>289</v>
      </c>
      <c r="I83" s="150">
        <f>I75-M37</f>
        <v>835873.9</v>
      </c>
      <c r="J83" s="151" t="s">
        <v>290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18"/>
      <c r="H84" s="118"/>
      <c r="I84" s="118"/>
      <c r="J84" s="1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4" t="s">
        <v>337</v>
      </c>
      <c r="K1" s="1"/>
      <c r="L1" s="1"/>
      <c r="M1" s="1"/>
      <c r="N1" s="1"/>
      <c r="O1" s="1"/>
      <c r="P1" s="1"/>
      <c r="Q1" s="1"/>
      <c r="R1" s="1"/>
      <c r="S1" s="1"/>
      <c r="T1" s="1"/>
      <c r="U1" s="45" t="s">
        <v>137</v>
      </c>
      <c r="V1" s="46"/>
      <c r="W1" s="46"/>
      <c r="X1" s="46"/>
      <c r="Y1" s="46"/>
      <c r="Z1" s="1"/>
    </row>
    <row r="2" ht="21.0" customHeight="1">
      <c r="A2" s="1"/>
      <c r="B2" s="47" t="s">
        <v>138</v>
      </c>
      <c r="C2" s="48">
        <f>I75</f>
        <v>538130.8</v>
      </c>
      <c r="D2" s="1"/>
      <c r="E2" s="49" t="s">
        <v>139</v>
      </c>
      <c r="F2" s="50">
        <f>C16+SUM(C20:C23)+SUM(C25:C28)+M36+D54+M41</f>
        <v>0</v>
      </c>
      <c r="G2" s="1"/>
      <c r="H2" s="49" t="s">
        <v>140</v>
      </c>
      <c r="I2" s="51">
        <f>I39</f>
        <v>-312176.9333</v>
      </c>
      <c r="J2" s="1"/>
      <c r="K2" s="1"/>
      <c r="L2" s="47" t="s">
        <v>141</v>
      </c>
      <c r="M2" s="52">
        <f>'2月'!C20+'2月'!C21+'2月'!C22+'2月'!C23+'2月'!C25</f>
        <v>0</v>
      </c>
      <c r="N2" s="1"/>
      <c r="O2" s="1"/>
      <c r="P2" s="1"/>
      <c r="Q2" s="1"/>
      <c r="R2" s="1"/>
      <c r="S2" s="1"/>
      <c r="T2" s="1"/>
      <c r="U2" s="3" t="s">
        <v>142</v>
      </c>
      <c r="Z2" s="1"/>
    </row>
    <row r="3" ht="15.0" customHeight="1">
      <c r="A3" s="1"/>
      <c r="B3" s="53" t="s">
        <v>143</v>
      </c>
      <c r="C3" s="46"/>
      <c r="D3" s="46"/>
      <c r="E3" s="46"/>
      <c r="F3" s="1"/>
      <c r="G3" s="54" t="s">
        <v>144</v>
      </c>
      <c r="H3" s="46"/>
      <c r="I3" s="46"/>
      <c r="J3" s="46"/>
      <c r="K3" s="1"/>
      <c r="L3" s="55" t="s">
        <v>145</v>
      </c>
      <c r="M3" s="46"/>
      <c r="N3" s="46"/>
      <c r="O3" s="46"/>
      <c r="P3" s="46"/>
      <c r="Q3" s="46"/>
      <c r="R3" s="46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6" t="s">
        <v>146</v>
      </c>
      <c r="C4" s="56" t="s">
        <v>133</v>
      </c>
      <c r="D4" s="56" t="s">
        <v>147</v>
      </c>
      <c r="E4" s="56" t="s">
        <v>148</v>
      </c>
      <c r="F4" s="1"/>
      <c r="G4" s="56" t="s">
        <v>70</v>
      </c>
      <c r="H4" s="56" t="s">
        <v>133</v>
      </c>
      <c r="I4" s="56" t="s">
        <v>147</v>
      </c>
      <c r="J4" s="56" t="s">
        <v>148</v>
      </c>
      <c r="K4" s="1"/>
      <c r="L4" s="56" t="s">
        <v>149</v>
      </c>
      <c r="M4" s="56" t="s">
        <v>150</v>
      </c>
      <c r="N4" s="56" t="s">
        <v>151</v>
      </c>
      <c r="O4" s="56" t="s">
        <v>152</v>
      </c>
      <c r="P4" s="56" t="s">
        <v>153</v>
      </c>
      <c r="Q4" s="56" t="s">
        <v>154</v>
      </c>
      <c r="R4" s="56" t="s">
        <v>155</v>
      </c>
      <c r="S4" s="1"/>
      <c r="T4" s="1"/>
      <c r="U4" s="57" t="s">
        <v>156</v>
      </c>
      <c r="V4" s="46"/>
      <c r="W4" s="46"/>
      <c r="X4" s="46"/>
      <c r="Y4" s="46"/>
      <c r="Z4" s="1"/>
    </row>
    <row r="5" ht="15.0" customHeight="1">
      <c r="A5" s="1"/>
      <c r="B5" s="58" t="s">
        <v>292</v>
      </c>
      <c r="C5" s="52">
        <f>'12月'!I75</f>
        <v>835873.9</v>
      </c>
      <c r="D5" s="60"/>
      <c r="E5" s="152"/>
      <c r="F5" s="1"/>
      <c r="G5" s="58" t="s">
        <v>158</v>
      </c>
      <c r="H5" s="52">
        <f>'1月日次売上'!C35</f>
        <v>0</v>
      </c>
      <c r="I5" s="60"/>
      <c r="J5" s="152"/>
      <c r="K5" s="1"/>
      <c r="L5" s="60"/>
      <c r="M5" s="59"/>
      <c r="N5" s="63"/>
      <c r="O5" s="64"/>
      <c r="P5" s="59"/>
      <c r="Q5" s="65">
        <f t="shared" ref="Q5:Q12" si="1">M5*N5*O5</f>
        <v>0</v>
      </c>
      <c r="R5" s="65">
        <f t="shared" ref="R5:R12" si="2">P5*N5</f>
        <v>0</v>
      </c>
      <c r="S5" s="1"/>
      <c r="T5" s="1"/>
      <c r="U5" s="66" t="s">
        <v>3</v>
      </c>
      <c r="V5" s="67" t="s">
        <v>159</v>
      </c>
      <c r="W5" s="67" t="s">
        <v>160</v>
      </c>
      <c r="X5" s="67" t="s">
        <v>161</v>
      </c>
      <c r="Y5" s="66" t="s">
        <v>162</v>
      </c>
      <c r="Z5" s="1"/>
    </row>
    <row r="6" ht="15.0" customHeight="1">
      <c r="A6" s="1"/>
      <c r="B6" s="58" t="s">
        <v>163</v>
      </c>
      <c r="C6" s="59"/>
      <c r="D6" s="60"/>
      <c r="E6" s="152"/>
      <c r="F6" s="1"/>
      <c r="G6" s="58" t="s">
        <v>164</v>
      </c>
      <c r="H6" s="52">
        <f>'1月日次売上'!D35</f>
        <v>0</v>
      </c>
      <c r="I6" s="60"/>
      <c r="J6" s="152"/>
      <c r="K6" s="1"/>
      <c r="L6" s="60"/>
      <c r="M6" s="59"/>
      <c r="N6" s="63"/>
      <c r="O6" s="64"/>
      <c r="P6" s="59"/>
      <c r="Q6" s="65">
        <f t="shared" si="1"/>
        <v>0</v>
      </c>
      <c r="R6" s="65">
        <f t="shared" si="2"/>
        <v>0</v>
      </c>
      <c r="S6" s="1"/>
      <c r="T6" s="1"/>
      <c r="U6" s="6" t="s">
        <v>165</v>
      </c>
      <c r="V6" s="69">
        <f>'売上計画'!L38</f>
        <v>14</v>
      </c>
      <c r="W6" s="70">
        <f>IF(H26=0,"",H24/H26/2)</f>
        <v>0</v>
      </c>
      <c r="X6" s="69">
        <f t="shared" ref="X6:X7" si="3">IF(W6="",0,W6-V6)</f>
        <v>-14</v>
      </c>
      <c r="Y6" s="71">
        <f t="shared" ref="Y6:Y7" si="4">IF(OR(W6="",V6=0),0,W6/V6)</f>
        <v>0</v>
      </c>
      <c r="Z6" s="1"/>
    </row>
    <row r="7" ht="15.0" customHeight="1">
      <c r="A7" s="1"/>
      <c r="B7" s="72" t="s">
        <v>166</v>
      </c>
      <c r="C7" s="73">
        <f>SUM(C5:C6)</f>
        <v>835873.9</v>
      </c>
      <c r="D7" s="74"/>
      <c r="E7" s="74"/>
      <c r="F7" s="1"/>
      <c r="G7" s="58" t="s">
        <v>167</v>
      </c>
      <c r="H7" s="52">
        <f>'1月日次売上'!E35</f>
        <v>0</v>
      </c>
      <c r="I7" s="60"/>
      <c r="J7" s="152"/>
      <c r="K7" s="1"/>
      <c r="L7" s="60"/>
      <c r="M7" s="59"/>
      <c r="N7" s="63"/>
      <c r="O7" s="64"/>
      <c r="P7" s="59"/>
      <c r="Q7" s="65">
        <f t="shared" si="1"/>
        <v>0</v>
      </c>
      <c r="R7" s="65">
        <f t="shared" si="2"/>
        <v>0</v>
      </c>
      <c r="S7" s="1"/>
      <c r="T7" s="1"/>
      <c r="U7" s="6" t="s">
        <v>168</v>
      </c>
      <c r="V7" s="69">
        <f>'売上計画'!L39</f>
        <v>13</v>
      </c>
      <c r="W7" s="70">
        <f>IF(H26=0,"",H24/H26/2)</f>
        <v>0</v>
      </c>
      <c r="X7" s="69">
        <f t="shared" si="3"/>
        <v>-13</v>
      </c>
      <c r="Y7" s="71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58" t="s">
        <v>169</v>
      </c>
      <c r="H8" s="52">
        <f>'1月日次売上'!F35</f>
        <v>0</v>
      </c>
      <c r="I8" s="60"/>
      <c r="J8" s="152"/>
      <c r="K8" s="1"/>
      <c r="L8" s="60"/>
      <c r="M8" s="59"/>
      <c r="N8" s="63"/>
      <c r="O8" s="64"/>
      <c r="P8" s="59"/>
      <c r="Q8" s="65">
        <f t="shared" si="1"/>
        <v>0</v>
      </c>
      <c r="R8" s="65">
        <f t="shared" si="2"/>
        <v>0</v>
      </c>
      <c r="S8" s="1"/>
      <c r="T8" s="1"/>
      <c r="U8" s="6" t="s">
        <v>170</v>
      </c>
      <c r="V8" s="69">
        <f>'売上計画'!L45</f>
        <v>1094300</v>
      </c>
      <c r="W8" s="69">
        <f>H20</f>
        <v>0</v>
      </c>
      <c r="X8" s="69">
        <f t="shared" ref="X8:X9" si="5">W8-V8</f>
        <v>-1094300</v>
      </c>
      <c r="Y8" s="71">
        <f t="shared" ref="Y8:Y9" si="6">IF(V8=0,0,W8/V8)</f>
        <v>0</v>
      </c>
      <c r="Z8" s="1"/>
    </row>
    <row r="9" ht="15.0" customHeight="1">
      <c r="A9" s="1"/>
      <c r="B9" s="75" t="s">
        <v>171</v>
      </c>
      <c r="C9" s="46"/>
      <c r="D9" s="46"/>
      <c r="E9" s="46"/>
      <c r="F9" s="1"/>
      <c r="G9" s="58" t="s">
        <v>172</v>
      </c>
      <c r="H9" s="52">
        <f>'1月日次売上'!G35</f>
        <v>0</v>
      </c>
      <c r="I9" s="60"/>
      <c r="J9" s="152"/>
      <c r="K9" s="1"/>
      <c r="L9" s="60"/>
      <c r="M9" s="59"/>
      <c r="N9" s="63"/>
      <c r="O9" s="64"/>
      <c r="P9" s="59"/>
      <c r="Q9" s="65">
        <f t="shared" si="1"/>
        <v>0</v>
      </c>
      <c r="R9" s="65">
        <f t="shared" si="2"/>
        <v>0</v>
      </c>
      <c r="S9" s="1"/>
      <c r="T9" s="1"/>
      <c r="U9" s="6" t="s">
        <v>173</v>
      </c>
      <c r="V9" s="69">
        <f>IF((V6*'売上計画'!$C$7+V7*'売上計画'!$C$8)=0,0,V8/(V6*'売上計画'!$C$7+V7*'売上計画'!$C$8))</f>
        <v>1350.987654</v>
      </c>
      <c r="W9" s="69">
        <f>H25</f>
        <v>0</v>
      </c>
      <c r="X9" s="69">
        <f t="shared" si="5"/>
        <v>-1350.987654</v>
      </c>
      <c r="Y9" s="71">
        <f t="shared" si="6"/>
        <v>0</v>
      </c>
      <c r="Z9" s="1"/>
    </row>
    <row r="10" ht="15.0" customHeight="1">
      <c r="A10" s="1"/>
      <c r="B10" s="56" t="s">
        <v>146</v>
      </c>
      <c r="C10" s="56" t="s">
        <v>133</v>
      </c>
      <c r="D10" s="56" t="s">
        <v>147</v>
      </c>
      <c r="E10" s="56" t="s">
        <v>148</v>
      </c>
      <c r="F10" s="1"/>
      <c r="G10" s="58" t="s">
        <v>174</v>
      </c>
      <c r="H10" s="52">
        <f>'1月日次売上'!H35</f>
        <v>0</v>
      </c>
      <c r="I10" s="60"/>
      <c r="J10" s="152"/>
      <c r="K10" s="1"/>
      <c r="L10" s="60"/>
      <c r="M10" s="59"/>
      <c r="N10" s="63"/>
      <c r="O10" s="64"/>
      <c r="P10" s="59"/>
      <c r="Q10" s="65">
        <f t="shared" si="1"/>
        <v>0</v>
      </c>
      <c r="R10" s="65">
        <f t="shared" si="2"/>
        <v>0</v>
      </c>
      <c r="S10" s="1"/>
      <c r="T10" s="1"/>
      <c r="U10" s="1"/>
      <c r="V10" s="70"/>
      <c r="W10" s="70"/>
      <c r="X10" s="70"/>
      <c r="Y10" s="1"/>
      <c r="Z10" s="1"/>
    </row>
    <row r="11" ht="15.0" customHeight="1">
      <c r="A11" s="1"/>
      <c r="B11" s="58" t="s">
        <v>175</v>
      </c>
      <c r="C11" s="76">
        <f>SUMIFS('freee実績'!$E:$E,'freee実績'!$B:$B,"2027-01",'freee実績'!$C:$C,"仕入高",'freee実績'!$D:$D,"コーヒー豆・茶葉")</f>
        <v>0</v>
      </c>
      <c r="D11" s="60"/>
      <c r="E11" s="152"/>
      <c r="F11" s="1"/>
      <c r="G11" s="72" t="s">
        <v>176</v>
      </c>
      <c r="H11" s="73">
        <f>SUM(H5:H10)</f>
        <v>0</v>
      </c>
      <c r="I11" s="74"/>
      <c r="J11" s="74"/>
      <c r="K11" s="1"/>
      <c r="L11" s="60"/>
      <c r="M11" s="59"/>
      <c r="N11" s="63"/>
      <c r="O11" s="64"/>
      <c r="P11" s="59"/>
      <c r="Q11" s="65">
        <f t="shared" si="1"/>
        <v>0</v>
      </c>
      <c r="R11" s="65">
        <f t="shared" si="2"/>
        <v>0</v>
      </c>
      <c r="S11" s="1"/>
      <c r="T11" s="1"/>
      <c r="U11" s="57" t="s">
        <v>177</v>
      </c>
      <c r="V11" s="46"/>
      <c r="W11" s="46"/>
      <c r="X11" s="46"/>
      <c r="Y11" s="46"/>
      <c r="Z11" s="1"/>
    </row>
    <row r="12" ht="15.0" customHeight="1">
      <c r="A12" s="1"/>
      <c r="B12" s="58" t="s">
        <v>178</v>
      </c>
      <c r="C12" s="76">
        <f>SUMIFS('freee実績'!$E:$E,'freee実績'!$B:$B,"2027-01",'freee実績'!$C:$C,"仕入高",'freee実績'!$D:$D,"牛乳・シロップ等")</f>
        <v>0</v>
      </c>
      <c r="D12" s="60"/>
      <c r="E12" s="152"/>
      <c r="F12" s="1"/>
      <c r="G12" s="1"/>
      <c r="H12" s="1"/>
      <c r="I12" s="1"/>
      <c r="J12" s="1"/>
      <c r="K12" s="1"/>
      <c r="L12" s="60"/>
      <c r="M12" s="59"/>
      <c r="N12" s="63"/>
      <c r="O12" s="64"/>
      <c r="P12" s="59"/>
      <c r="Q12" s="65">
        <f t="shared" si="1"/>
        <v>0</v>
      </c>
      <c r="R12" s="65">
        <f t="shared" si="2"/>
        <v>0</v>
      </c>
      <c r="S12" s="1"/>
      <c r="T12" s="1"/>
      <c r="U12" s="66" t="s">
        <v>3</v>
      </c>
      <c r="V12" s="67" t="s">
        <v>159</v>
      </c>
      <c r="W12" s="67" t="s">
        <v>160</v>
      </c>
      <c r="X12" s="67" t="s">
        <v>161</v>
      </c>
      <c r="Y12" s="66" t="s">
        <v>179</v>
      </c>
      <c r="Z12" s="1"/>
    </row>
    <row r="13" ht="15.0" customHeight="1">
      <c r="A13" s="1"/>
      <c r="B13" s="58" t="s">
        <v>180</v>
      </c>
      <c r="C13" s="76">
        <f>SUMIFS('freee実績'!$E:$E,'freee実績'!$B:$B,"2027-01",'freee実績'!$C:$C,"仕入高",'freee実績'!$D:$D,"フード材料費")</f>
        <v>0</v>
      </c>
      <c r="D13" s="60"/>
      <c r="E13" s="152"/>
      <c r="F13" s="1"/>
      <c r="G13" s="54" t="s">
        <v>181</v>
      </c>
      <c r="H13" s="46"/>
      <c r="I13" s="46"/>
      <c r="J13" s="46"/>
      <c r="K13" s="1"/>
      <c r="L13" s="72" t="s">
        <v>182</v>
      </c>
      <c r="M13" s="74"/>
      <c r="N13" s="74"/>
      <c r="O13" s="74"/>
      <c r="P13" s="74"/>
      <c r="Q13" s="73">
        <f t="shared" ref="Q13:R13" si="7">SUM(Q5:Q12)</f>
        <v>0</v>
      </c>
      <c r="R13" s="73">
        <f t="shared" si="7"/>
        <v>0</v>
      </c>
      <c r="S13" s="1"/>
      <c r="T13" s="1"/>
      <c r="U13" s="6" t="s">
        <v>183</v>
      </c>
      <c r="V13" s="69">
        <f>'売上計画'!L46</f>
        <v>328290</v>
      </c>
      <c r="W13" s="69">
        <f>C16</f>
        <v>0</v>
      </c>
      <c r="X13" s="69">
        <f t="shared" ref="X13:X14" si="8">W13-V13</f>
        <v>-328290</v>
      </c>
      <c r="Y13" s="71">
        <f>IF(W8=0,0,W13/W8)</f>
        <v>0</v>
      </c>
      <c r="Z13" s="1"/>
    </row>
    <row r="14" ht="15.0" customHeight="1">
      <c r="A14" s="1"/>
      <c r="B14" s="58" t="s">
        <v>184</v>
      </c>
      <c r="C14" s="76">
        <f>SUMIFS('freee実績'!$E:$E,'freee実績'!$B:$B,"2027-01",'freee実績'!$C:$C,"仕入高",'freee実績'!$D:$D,"包装資材・消耗品")</f>
        <v>0</v>
      </c>
      <c r="D14" s="60"/>
      <c r="E14" s="152"/>
      <c r="F14" s="1"/>
      <c r="G14" s="56" t="s">
        <v>70</v>
      </c>
      <c r="H14" s="56" t="s">
        <v>133</v>
      </c>
      <c r="I14" s="56" t="s">
        <v>147</v>
      </c>
      <c r="J14" s="56" t="s">
        <v>148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185</v>
      </c>
      <c r="V14" s="69">
        <f>'売上計画'!L47</f>
        <v>766010</v>
      </c>
      <c r="W14" s="69">
        <f>H20-C16</f>
        <v>0</v>
      </c>
      <c r="X14" s="69">
        <f t="shared" si="8"/>
        <v>-766010</v>
      </c>
      <c r="Y14" s="71">
        <f>IF(W8=0,0,W14/W8)</f>
        <v>0</v>
      </c>
      <c r="Z14" s="1"/>
    </row>
    <row r="15" ht="15.0" customHeight="1">
      <c r="A15" s="1"/>
      <c r="B15" s="58" t="s">
        <v>186</v>
      </c>
      <c r="C15" s="76">
        <f>SUMIFS('freee実績'!$E:$E,'freee実績'!$B:$B,"2027-01",'freee実績'!$C:$C,"仕入高",'freee実績'!$D:$D,"その他原価")</f>
        <v>0</v>
      </c>
      <c r="D15" s="60"/>
      <c r="E15" s="152"/>
      <c r="F15" s="1"/>
      <c r="G15" s="58" t="s">
        <v>187</v>
      </c>
      <c r="H15" s="52">
        <f>'1月日次売上'!I35</f>
        <v>0</v>
      </c>
      <c r="I15" s="60"/>
      <c r="J15" s="152"/>
      <c r="K15" s="1"/>
      <c r="L15" s="77" t="s">
        <v>188</v>
      </c>
      <c r="M15" s="46"/>
      <c r="N15" s="46"/>
      <c r="O15" s="46"/>
      <c r="P15" s="46"/>
      <c r="Q15" s="46"/>
      <c r="R15" s="46"/>
      <c r="S15" s="1"/>
      <c r="T15" s="1"/>
      <c r="U15" s="1"/>
      <c r="V15" s="70"/>
      <c r="W15" s="70"/>
      <c r="X15" s="70"/>
      <c r="Y15" s="1"/>
      <c r="Z15" s="1"/>
    </row>
    <row r="16" ht="15.0" customHeight="1">
      <c r="A16" s="1"/>
      <c r="B16" s="72" t="s">
        <v>189</v>
      </c>
      <c r="C16" s="73">
        <f>SUM(C11:C15)</f>
        <v>0</v>
      </c>
      <c r="D16" s="74"/>
      <c r="E16" s="74"/>
      <c r="F16" s="1"/>
      <c r="G16" s="58" t="s">
        <v>190</v>
      </c>
      <c r="H16" s="76"/>
      <c r="I16" s="60"/>
      <c r="J16" s="152"/>
      <c r="K16" s="1"/>
      <c r="L16" s="56" t="s">
        <v>3</v>
      </c>
      <c r="M16" s="56" t="s">
        <v>191</v>
      </c>
      <c r="N16" s="56"/>
      <c r="O16" s="56"/>
      <c r="P16" s="56"/>
      <c r="Q16" s="56"/>
      <c r="R16" s="56" t="s">
        <v>5</v>
      </c>
      <c r="S16" s="1"/>
      <c r="T16" s="1"/>
      <c r="U16" s="57" t="s">
        <v>192</v>
      </c>
      <c r="V16" s="46"/>
      <c r="W16" s="46"/>
      <c r="X16" s="46"/>
      <c r="Y16" s="46"/>
      <c r="Z16" s="1"/>
    </row>
    <row r="17" ht="15.0" customHeight="1">
      <c r="A17" s="1"/>
      <c r="B17" s="1"/>
      <c r="C17" s="1"/>
      <c r="D17" s="1"/>
      <c r="E17" s="1"/>
      <c r="F17" s="1"/>
      <c r="G17" s="58" t="s">
        <v>193</v>
      </c>
      <c r="H17" s="76"/>
      <c r="I17" s="60"/>
      <c r="J17" s="152"/>
      <c r="K17" s="1"/>
      <c r="L17" s="58" t="s">
        <v>194</v>
      </c>
      <c r="M17" s="59"/>
      <c r="N17" s="78"/>
      <c r="O17" s="78"/>
      <c r="P17" s="78"/>
      <c r="Q17" s="78"/>
      <c r="R17" s="152"/>
      <c r="S17" s="1"/>
      <c r="T17" s="1"/>
      <c r="U17" s="66" t="s">
        <v>3</v>
      </c>
      <c r="V17" s="67" t="s">
        <v>159</v>
      </c>
      <c r="W17" s="67" t="s">
        <v>160</v>
      </c>
      <c r="X17" s="67" t="s">
        <v>161</v>
      </c>
      <c r="Y17" s="1"/>
      <c r="Z17" s="1"/>
    </row>
    <row r="18" ht="15.0" customHeight="1">
      <c r="A18" s="1"/>
      <c r="B18" s="77" t="s">
        <v>195</v>
      </c>
      <c r="C18" s="46"/>
      <c r="D18" s="46"/>
      <c r="E18" s="46"/>
      <c r="F18" s="1"/>
      <c r="G18" s="72" t="s">
        <v>196</v>
      </c>
      <c r="H18" s="73">
        <f>SUM(H15:H17)</f>
        <v>0</v>
      </c>
      <c r="I18" s="74"/>
      <c r="J18" s="74"/>
      <c r="K18" s="1"/>
      <c r="L18" s="58" t="s">
        <v>197</v>
      </c>
      <c r="M18" s="59"/>
      <c r="N18" s="78"/>
      <c r="O18" s="78"/>
      <c r="P18" s="78"/>
      <c r="Q18" s="78"/>
      <c r="R18" s="152"/>
      <c r="S18" s="1"/>
      <c r="T18" s="1"/>
      <c r="U18" s="6" t="s">
        <v>198</v>
      </c>
      <c r="V18" s="69">
        <f>'売上計画'!L54</f>
        <v>46.5</v>
      </c>
      <c r="W18" s="69">
        <f>C24</f>
        <v>297743.1</v>
      </c>
      <c r="X18" s="69">
        <f t="shared" ref="X18:X21" si="9">W18-V18</f>
        <v>297696.6</v>
      </c>
      <c r="Y18" s="1"/>
      <c r="Z18" s="1"/>
    </row>
    <row r="19" ht="15.0" customHeight="1">
      <c r="A19" s="1"/>
      <c r="B19" s="56" t="s">
        <v>146</v>
      </c>
      <c r="C19" s="56" t="s">
        <v>133</v>
      </c>
      <c r="D19" s="56" t="s">
        <v>147</v>
      </c>
      <c r="E19" s="56" t="s">
        <v>148</v>
      </c>
      <c r="F19" s="1"/>
      <c r="G19" s="1"/>
      <c r="H19" s="1"/>
      <c r="I19" s="1"/>
      <c r="J19" s="1"/>
      <c r="K19" s="1"/>
      <c r="L19" s="58" t="s">
        <v>199</v>
      </c>
      <c r="M19" s="59"/>
      <c r="N19" s="78"/>
      <c r="O19" s="78"/>
      <c r="P19" s="78"/>
      <c r="Q19" s="78"/>
      <c r="R19" s="152"/>
      <c r="S19" s="1"/>
      <c r="T19" s="1"/>
      <c r="U19" s="6" t="s">
        <v>200</v>
      </c>
      <c r="V19" s="69">
        <f>'売上計画'!L57</f>
        <v>583.5</v>
      </c>
      <c r="W19" s="69">
        <f>C20+C21+C22+C23</f>
        <v>0</v>
      </c>
      <c r="X19" s="69">
        <f t="shared" si="9"/>
        <v>-583.5</v>
      </c>
      <c r="Y19" s="1"/>
      <c r="Z19" s="1"/>
    </row>
    <row r="20" ht="15.0" customHeight="1">
      <c r="A20" s="1"/>
      <c r="B20" s="79" t="s">
        <v>201</v>
      </c>
      <c r="C20" s="80">
        <f>SUMIFS('freee実績'!$E:$E,'freee実績'!$B:$B,"2027-01",'freee実績'!$C:$C,"地代家賃")</f>
        <v>0</v>
      </c>
      <c r="D20" s="81" t="s">
        <v>202</v>
      </c>
      <c r="E20" s="152"/>
      <c r="F20" s="1"/>
      <c r="G20" s="82" t="s">
        <v>203</v>
      </c>
      <c r="H20" s="83">
        <f>H11+H18</f>
        <v>0</v>
      </c>
      <c r="I20" s="84"/>
      <c r="J20" s="84"/>
      <c r="K20" s="1"/>
      <c r="L20" s="58" t="s">
        <v>204</v>
      </c>
      <c r="M20" s="59"/>
      <c r="N20" s="78"/>
      <c r="O20" s="78"/>
      <c r="P20" s="78"/>
      <c r="Q20" s="78"/>
      <c r="R20" s="152"/>
      <c r="S20" s="1"/>
      <c r="T20" s="1"/>
      <c r="U20" s="6" t="s">
        <v>205</v>
      </c>
      <c r="V20" s="69">
        <f>'売上計画'!L58</f>
        <v>0</v>
      </c>
      <c r="W20" s="69">
        <f>C25</f>
        <v>0</v>
      </c>
      <c r="X20" s="69">
        <f t="shared" si="9"/>
        <v>0</v>
      </c>
      <c r="Y20" s="1"/>
      <c r="Z20" s="1"/>
    </row>
    <row r="21" ht="15.0" customHeight="1">
      <c r="A21" s="1"/>
      <c r="B21" s="79" t="s">
        <v>206</v>
      </c>
      <c r="C21" s="80">
        <f>SUMIFS('freee実績'!$E:$E,'freee実績'!$B:$B,"2027-01",'freee実績'!$C:$C,"水道光熱費")</f>
        <v>0</v>
      </c>
      <c r="D21" s="81" t="s">
        <v>202</v>
      </c>
      <c r="E21" s="152"/>
      <c r="F21" s="1"/>
      <c r="G21" s="1"/>
      <c r="H21" s="1"/>
      <c r="I21" s="1"/>
      <c r="J21" s="1"/>
      <c r="K21" s="1"/>
      <c r="L21" s="72" t="s">
        <v>207</v>
      </c>
      <c r="M21" s="73">
        <f>SUM(M17:M20)</f>
        <v>0</v>
      </c>
      <c r="N21" s="74"/>
      <c r="O21" s="74"/>
      <c r="P21" s="74"/>
      <c r="Q21" s="74"/>
      <c r="R21" s="74"/>
      <c r="S21" s="1"/>
      <c r="T21" s="1"/>
      <c r="U21" s="6" t="s">
        <v>208</v>
      </c>
      <c r="V21" s="69">
        <f>'売上計画'!L59</f>
        <v>0</v>
      </c>
      <c r="W21" s="69">
        <f>C30</f>
        <v>312176.9333</v>
      </c>
      <c r="X21" s="69">
        <f t="shared" si="9"/>
        <v>312176.9333</v>
      </c>
      <c r="Y21" s="1"/>
      <c r="Z21" s="1"/>
    </row>
    <row r="22" ht="16.5" customHeight="1">
      <c r="A22" s="1"/>
      <c r="B22" s="79" t="s">
        <v>209</v>
      </c>
      <c r="C22" s="80">
        <f>SUMIFS('freee実績'!$E:$E,'freee実績'!$B:$B,"2027-01",'freee実績'!$C:$C,"通信費")</f>
        <v>0</v>
      </c>
      <c r="D22" s="81" t="s">
        <v>202</v>
      </c>
      <c r="E22" s="152"/>
      <c r="F22" s="1"/>
      <c r="G22" s="85" t="s">
        <v>210</v>
      </c>
      <c r="H22" s="46"/>
      <c r="I22" s="46"/>
      <c r="J22" s="4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0"/>
      <c r="W22" s="70"/>
      <c r="X22" s="70"/>
      <c r="Y22" s="1"/>
      <c r="Z22" s="1"/>
    </row>
    <row r="23" ht="15.0" customHeight="1">
      <c r="A23" s="1"/>
      <c r="B23" s="79" t="s">
        <v>211</v>
      </c>
      <c r="C23" s="80">
        <f>SUMIFS('freee実績'!$E:$E,'freee実績'!$B:$B,"2027-01",'freee実績'!$C:$C,"保険料")</f>
        <v>0</v>
      </c>
      <c r="D23" s="81" t="s">
        <v>202</v>
      </c>
      <c r="E23" s="152"/>
      <c r="F23" s="1"/>
      <c r="G23" s="56" t="s">
        <v>212</v>
      </c>
      <c r="H23" s="56" t="s">
        <v>213</v>
      </c>
      <c r="I23" s="56"/>
      <c r="J23" s="56" t="s">
        <v>214</v>
      </c>
      <c r="K23" s="1"/>
      <c r="L23" s="86" t="s">
        <v>215</v>
      </c>
      <c r="M23" s="87">
        <f>Q13+R13+M21</f>
        <v>0</v>
      </c>
      <c r="N23" s="88"/>
      <c r="O23" s="88"/>
      <c r="P23" s="88"/>
      <c r="Q23" s="88"/>
      <c r="R23" s="88"/>
      <c r="S23" s="1"/>
      <c r="T23" s="1"/>
      <c r="U23" s="57" t="s">
        <v>216</v>
      </c>
      <c r="V23" s="46"/>
      <c r="W23" s="46"/>
      <c r="X23" s="46"/>
      <c r="Y23" s="46"/>
      <c r="Z23" s="1"/>
    </row>
    <row r="24" ht="15.0" customHeight="1">
      <c r="A24" s="1"/>
      <c r="B24" s="58" t="s">
        <v>217</v>
      </c>
      <c r="C24" s="89">
        <f>'役員報酬・社保'!C17+'役員報酬・社保'!D17+'役員報酬・社保'!E17+'役員報酬・社保'!F71+86400</f>
        <v>297743.1</v>
      </c>
      <c r="D24" s="90" t="s">
        <v>218</v>
      </c>
      <c r="E24" s="152"/>
      <c r="F24" s="1"/>
      <c r="G24" s="58" t="s">
        <v>219</v>
      </c>
      <c r="H24" s="91">
        <f>'1月日次売上'!J35</f>
        <v>0</v>
      </c>
      <c r="I24" s="78"/>
      <c r="J24" s="92"/>
      <c r="K24" s="1"/>
      <c r="L24" s="1"/>
      <c r="M24" s="1"/>
      <c r="N24" s="1"/>
      <c r="O24" s="1"/>
      <c r="P24" s="1"/>
      <c r="Q24" s="1"/>
      <c r="R24" s="1"/>
      <c r="S24" s="1"/>
      <c r="T24" s="1"/>
      <c r="U24" s="66" t="s">
        <v>3</v>
      </c>
      <c r="V24" s="67" t="s">
        <v>159</v>
      </c>
      <c r="W24" s="67" t="s">
        <v>160</v>
      </c>
      <c r="X24" s="67" t="s">
        <v>161</v>
      </c>
      <c r="Y24" s="66" t="s">
        <v>162</v>
      </c>
      <c r="Z24" s="1"/>
    </row>
    <row r="25" ht="15.0" customHeight="1">
      <c r="A25" s="1"/>
      <c r="B25" s="58" t="s">
        <v>220</v>
      </c>
      <c r="C25" s="93">
        <f>SUMIFS('freee実績'!$E:$E,'freee実績'!$B:$B,"2027-01",'freee実績'!$C:$C,"消耗品費")</f>
        <v>0</v>
      </c>
      <c r="D25" s="90" t="s">
        <v>218</v>
      </c>
      <c r="E25" s="152"/>
      <c r="F25" s="1"/>
      <c r="G25" s="58" t="s">
        <v>173</v>
      </c>
      <c r="H25" s="65">
        <f>IF(H24=0,0,H20/H24)</f>
        <v>0</v>
      </c>
      <c r="I25" s="78"/>
      <c r="J25" s="94" t="s">
        <v>221</v>
      </c>
      <c r="K25" s="1"/>
      <c r="L25" s="95" t="s">
        <v>222</v>
      </c>
      <c r="M25" s="1"/>
      <c r="N25" s="1"/>
      <c r="O25" s="1"/>
      <c r="P25" s="1"/>
      <c r="Q25" s="1"/>
      <c r="R25" s="1"/>
      <c r="S25" s="1"/>
      <c r="T25" s="1"/>
      <c r="U25" s="6" t="s">
        <v>223</v>
      </c>
      <c r="V25" s="69" t="str">
        <f>'売上計画'!L61</f>
        <v/>
      </c>
      <c r="W25" s="69">
        <f>I39</f>
        <v>-312176.9333</v>
      </c>
      <c r="X25" s="69">
        <f t="shared" ref="X25:X26" si="10">W25-V25</f>
        <v>-312176.9333</v>
      </c>
      <c r="Y25" s="71">
        <f>IF(V25=0,0,W25/V25)</f>
        <v>0</v>
      </c>
      <c r="Z25" s="1"/>
    </row>
    <row r="26" ht="15.0" customHeight="1">
      <c r="A26" s="1"/>
      <c r="B26" s="58" t="s">
        <v>224</v>
      </c>
      <c r="C26" s="93">
        <f>SUMIFS('freee実績'!$E:$E,'freee実績'!$B:$B,"2027-01",'freee実績'!$C:$C,"広告宣伝費")</f>
        <v>0</v>
      </c>
      <c r="D26" s="90" t="s">
        <v>218</v>
      </c>
      <c r="E26" s="152"/>
      <c r="F26" s="1"/>
      <c r="G26" s="58" t="s">
        <v>225</v>
      </c>
      <c r="H26" s="63">
        <v>31.0</v>
      </c>
      <c r="I26" s="78"/>
      <c r="J26" s="92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226</v>
      </c>
      <c r="V26" s="71">
        <f>'売上計画'!L62</f>
        <v>406010</v>
      </c>
      <c r="W26" s="71">
        <f>IF(W8=0,0,W25/W8)</f>
        <v>0</v>
      </c>
      <c r="X26" s="71">
        <f t="shared" si="10"/>
        <v>-406010</v>
      </c>
      <c r="Y26" s="1"/>
      <c r="Z26" s="1"/>
    </row>
    <row r="27" ht="15.0" customHeight="1">
      <c r="A27" s="1"/>
      <c r="B27" s="58" t="s">
        <v>227</v>
      </c>
      <c r="C27" s="93">
        <f>SUMIFS('freee実績'!$E:$E,'freee実績'!$B:$B,"2027-01",'freee実績'!$C:$C,"修繕費")</f>
        <v>0</v>
      </c>
      <c r="D27" s="90" t="s">
        <v>218</v>
      </c>
      <c r="E27" s="152"/>
      <c r="F27" s="1"/>
      <c r="G27" s="58" t="s">
        <v>228</v>
      </c>
      <c r="H27" s="65">
        <f>IF(H26=0,0,H20/H26)</f>
        <v>0</v>
      </c>
      <c r="I27" s="78"/>
      <c r="J27" s="94" t="s">
        <v>229</v>
      </c>
      <c r="K27" s="1"/>
      <c r="L27" s="85" t="s">
        <v>230</v>
      </c>
      <c r="M27" s="46"/>
      <c r="N27" s="46"/>
      <c r="O27" s="46"/>
      <c r="P27" s="46"/>
      <c r="Q27" s="46"/>
      <c r="R27" s="46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8" t="s">
        <v>231</v>
      </c>
      <c r="C28" s="93">
        <f>SUMIFS('freee実績'!$E:$E,'freee実績'!$B:$B,"2027-01",'freee実績'!$C:$C,"雑費")</f>
        <v>0</v>
      </c>
      <c r="D28" s="90" t="s">
        <v>218</v>
      </c>
      <c r="E28" s="152"/>
      <c r="F28" s="1"/>
      <c r="G28" s="58" t="s">
        <v>179</v>
      </c>
      <c r="H28" s="96">
        <f>IF(H20=0,0,C16/H20)</f>
        <v>0</v>
      </c>
      <c r="I28" s="78"/>
      <c r="J28" s="94" t="s">
        <v>232</v>
      </c>
      <c r="K28" s="1"/>
      <c r="L28" s="56" t="s">
        <v>212</v>
      </c>
      <c r="M28" s="56" t="s">
        <v>213</v>
      </c>
      <c r="N28" s="56"/>
      <c r="O28" s="56"/>
      <c r="P28" s="56"/>
      <c r="Q28" s="56"/>
      <c r="R28" s="56" t="s">
        <v>214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97" t="s">
        <v>233</v>
      </c>
      <c r="C29" s="98">
        <f>'固定資産台帳'!U26</f>
        <v>14433.83333</v>
      </c>
      <c r="D29" s="99" t="s">
        <v>234</v>
      </c>
      <c r="E29" s="152"/>
      <c r="F29" s="1"/>
      <c r="G29" s="1"/>
      <c r="H29" s="1"/>
      <c r="I29" s="1"/>
      <c r="J29" s="1"/>
      <c r="K29" s="1"/>
      <c r="L29" s="58" t="s">
        <v>235</v>
      </c>
      <c r="M29" s="96">
        <f>IF(H20=0,0,M23/H20)</f>
        <v>0</v>
      </c>
      <c r="N29" s="78"/>
      <c r="O29" s="78"/>
      <c r="P29" s="78"/>
      <c r="Q29" s="78"/>
      <c r="R29" s="94" t="s">
        <v>236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2" t="s">
        <v>237</v>
      </c>
      <c r="C30" s="73">
        <f>SUM(C20:C29)</f>
        <v>312176.9333</v>
      </c>
      <c r="D30" s="74"/>
      <c r="E30" s="74"/>
      <c r="F30" s="1"/>
      <c r="G30" s="1"/>
      <c r="H30" s="1"/>
      <c r="I30" s="1"/>
      <c r="J30" s="1"/>
      <c r="K30" s="1"/>
      <c r="L30" s="58" t="s">
        <v>238</v>
      </c>
      <c r="M30" s="65">
        <f>IF((SUM(N5:N12)*SUM(O5:O12))=0,0,H20/(SUM(N5:N12)*SUM(O5:O12)))</f>
        <v>0</v>
      </c>
      <c r="N30" s="78"/>
      <c r="O30" s="78"/>
      <c r="P30" s="78"/>
      <c r="Q30" s="78"/>
      <c r="R30" s="94" t="s">
        <v>239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77" t="s">
        <v>240</v>
      </c>
      <c r="C32" s="46"/>
      <c r="D32" s="46"/>
      <c r="E32" s="46"/>
      <c r="F32" s="100"/>
      <c r="G32" s="53" t="s">
        <v>241</v>
      </c>
      <c r="H32" s="46"/>
      <c r="I32" s="46"/>
      <c r="J32" s="46"/>
      <c r="K32" s="1"/>
      <c r="L32" s="101" t="s">
        <v>242</v>
      </c>
      <c r="M32" s="46"/>
      <c r="N32" s="46"/>
      <c r="O32" s="46"/>
      <c r="P32" s="46"/>
      <c r="Q32" s="46"/>
      <c r="R32" s="46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6" t="s">
        <v>146</v>
      </c>
      <c r="C33" s="56" t="s">
        <v>243</v>
      </c>
      <c r="D33" s="56" t="s">
        <v>160</v>
      </c>
      <c r="E33" s="102" t="s">
        <v>244</v>
      </c>
      <c r="F33" s="56" t="s">
        <v>148</v>
      </c>
      <c r="G33" s="56"/>
      <c r="H33" s="56" t="s">
        <v>3</v>
      </c>
      <c r="I33" s="56" t="s">
        <v>133</v>
      </c>
      <c r="J33" s="56"/>
      <c r="K33" s="1"/>
      <c r="L33" s="95" t="s">
        <v>245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58" t="s">
        <v>294</v>
      </c>
      <c r="C34" s="76"/>
      <c r="D34" s="59"/>
      <c r="E34" s="65">
        <f t="shared" ref="E34:E54" si="11">C34-D34</f>
        <v>0</v>
      </c>
      <c r="F34" s="109"/>
      <c r="G34" s="78"/>
      <c r="H34" s="106" t="s">
        <v>246</v>
      </c>
      <c r="I34" s="65">
        <f>H20</f>
        <v>0</v>
      </c>
      <c r="J34" s="78"/>
      <c r="K34" s="1"/>
      <c r="L34" s="107" t="s">
        <v>247</v>
      </c>
      <c r="M34" s="108" t="s">
        <v>248</v>
      </c>
      <c r="N34" s="95" t="s">
        <v>249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58" t="s">
        <v>295</v>
      </c>
      <c r="C35" s="76"/>
      <c r="D35" s="59"/>
      <c r="E35" s="65">
        <f t="shared" si="11"/>
        <v>0</v>
      </c>
      <c r="F35" s="109"/>
      <c r="G35" s="78"/>
      <c r="H35" s="106" t="s">
        <v>183</v>
      </c>
      <c r="I35" s="65">
        <f>C16</f>
        <v>0</v>
      </c>
      <c r="J35" s="78"/>
      <c r="K35" s="1"/>
      <c r="L35" s="58" t="s">
        <v>250</v>
      </c>
      <c r="M35" s="52">
        <f>M23</f>
        <v>0</v>
      </c>
      <c r="N35" s="110" t="s">
        <v>251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58" t="s">
        <v>296</v>
      </c>
      <c r="C36" s="76"/>
      <c r="D36" s="59"/>
      <c r="E36" s="65">
        <f t="shared" si="11"/>
        <v>0</v>
      </c>
      <c r="F36" s="109"/>
      <c r="G36" s="78"/>
      <c r="H36" s="106" t="s">
        <v>185</v>
      </c>
      <c r="I36" s="65">
        <f>I34-I35</f>
        <v>0</v>
      </c>
      <c r="J36" s="78"/>
      <c r="K36" s="1"/>
      <c r="L36" s="58" t="s">
        <v>252</v>
      </c>
      <c r="M36" s="65">
        <f>IF(M34="支払い",M35,0)</f>
        <v>0</v>
      </c>
      <c r="N36" s="95" t="s">
        <v>253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0"/>
      <c r="C37" s="76"/>
      <c r="D37" s="59"/>
      <c r="E37" s="65">
        <f t="shared" si="11"/>
        <v>0</v>
      </c>
      <c r="F37" s="109"/>
      <c r="G37" s="78"/>
      <c r="H37" s="106" t="s">
        <v>254</v>
      </c>
      <c r="I37" s="96">
        <f>IF(I34=0,0,I36/I34)</f>
        <v>0</v>
      </c>
      <c r="J37" s="78"/>
      <c r="K37" s="1"/>
      <c r="L37" s="111" t="s">
        <v>255</v>
      </c>
      <c r="M37" s="112">
        <f>M35-M36</f>
        <v>0</v>
      </c>
      <c r="N37" s="95" t="s">
        <v>256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3"/>
      <c r="C38" s="76"/>
      <c r="D38" s="59"/>
      <c r="E38" s="65">
        <f t="shared" si="11"/>
        <v>0</v>
      </c>
      <c r="F38" s="109"/>
      <c r="G38" s="78"/>
      <c r="H38" s="106" t="s">
        <v>208</v>
      </c>
      <c r="I38" s="65">
        <f>C30</f>
        <v>312176.9333</v>
      </c>
      <c r="J38" s="78"/>
      <c r="K38" s="1"/>
      <c r="L38" s="58" t="s">
        <v>257</v>
      </c>
      <c r="M38" s="52">
        <f>'12月'!M39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0"/>
      <c r="C39" s="76"/>
      <c r="D39" s="59"/>
      <c r="E39" s="65">
        <f t="shared" si="11"/>
        <v>0</v>
      </c>
      <c r="F39" s="109"/>
      <c r="G39" s="78"/>
      <c r="H39" s="113" t="s">
        <v>223</v>
      </c>
      <c r="I39" s="114">
        <f>I36-I38</f>
        <v>-312176.9333</v>
      </c>
      <c r="J39" s="115"/>
      <c r="K39" s="1"/>
      <c r="L39" s="116" t="s">
        <v>258</v>
      </c>
      <c r="M39" s="117">
        <f>M38+M37</f>
        <v>0</v>
      </c>
      <c r="N39" s="95" t="s">
        <v>259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3"/>
      <c r="C40" s="76"/>
      <c r="D40" s="59"/>
      <c r="E40" s="65">
        <f t="shared" si="11"/>
        <v>0</v>
      </c>
      <c r="F40" s="109"/>
      <c r="G40" s="118"/>
      <c r="H40" s="118"/>
      <c r="I40" s="118"/>
      <c r="J40" s="1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0"/>
      <c r="C41" s="76"/>
      <c r="D41" s="59"/>
      <c r="E41" s="65">
        <f t="shared" si="11"/>
        <v>0</v>
      </c>
      <c r="F41" s="109"/>
      <c r="G41" s="118"/>
      <c r="H41" s="118"/>
      <c r="I41" s="118"/>
      <c r="J41" s="118"/>
      <c r="K41" s="1"/>
      <c r="L41" s="58" t="s">
        <v>260</v>
      </c>
      <c r="M41" s="59"/>
      <c r="N41" s="95" t="s">
        <v>261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3"/>
      <c r="C42" s="76"/>
      <c r="D42" s="59"/>
      <c r="E42" s="65">
        <f t="shared" si="11"/>
        <v>0</v>
      </c>
      <c r="F42" s="109"/>
      <c r="G42" s="118"/>
      <c r="H42" s="118"/>
      <c r="I42" s="118"/>
      <c r="J42" s="1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0"/>
      <c r="C43" s="76"/>
      <c r="D43" s="59"/>
      <c r="E43" s="65">
        <f t="shared" si="11"/>
        <v>0</v>
      </c>
      <c r="F43" s="109"/>
      <c r="G43" s="118"/>
      <c r="H43" s="118"/>
      <c r="I43" s="118"/>
      <c r="J43" s="1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3"/>
      <c r="C44" s="76"/>
      <c r="D44" s="59"/>
      <c r="E44" s="65">
        <f t="shared" si="11"/>
        <v>0</v>
      </c>
      <c r="F44" s="109"/>
      <c r="G44" s="118"/>
      <c r="H44" s="118"/>
      <c r="I44" s="118"/>
      <c r="J44" s="1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0"/>
      <c r="C45" s="76"/>
      <c r="D45" s="59"/>
      <c r="E45" s="65">
        <f t="shared" si="11"/>
        <v>0</v>
      </c>
      <c r="F45" s="109"/>
      <c r="G45" s="118"/>
      <c r="H45" s="118"/>
      <c r="I45" s="118"/>
      <c r="J45" s="1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3"/>
      <c r="C46" s="76"/>
      <c r="D46" s="59"/>
      <c r="E46" s="65">
        <f t="shared" si="11"/>
        <v>0</v>
      </c>
      <c r="F46" s="109"/>
      <c r="G46" s="118"/>
      <c r="H46" s="118"/>
      <c r="I46" s="118"/>
      <c r="J46" s="1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0"/>
      <c r="C47" s="76"/>
      <c r="D47" s="59"/>
      <c r="E47" s="65">
        <f t="shared" si="11"/>
        <v>0</v>
      </c>
      <c r="F47" s="109"/>
      <c r="G47" s="118"/>
      <c r="H47" s="118"/>
      <c r="I47" s="118"/>
      <c r="J47" s="1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3"/>
      <c r="C48" s="76"/>
      <c r="D48" s="59"/>
      <c r="E48" s="65">
        <f t="shared" si="11"/>
        <v>0</v>
      </c>
      <c r="F48" s="109"/>
      <c r="G48" s="118"/>
      <c r="H48" s="118"/>
      <c r="I48" s="118"/>
      <c r="J48" s="1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0"/>
      <c r="C49" s="76"/>
      <c r="D49" s="59"/>
      <c r="E49" s="65">
        <f t="shared" si="11"/>
        <v>0</v>
      </c>
      <c r="F49" s="109"/>
      <c r="G49" s="118"/>
      <c r="H49" s="118"/>
      <c r="I49" s="118"/>
      <c r="J49" s="1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3"/>
      <c r="C50" s="76"/>
      <c r="D50" s="59"/>
      <c r="E50" s="65">
        <f t="shared" si="11"/>
        <v>0</v>
      </c>
      <c r="F50" s="109"/>
      <c r="G50" s="118"/>
      <c r="H50" s="118"/>
      <c r="I50" s="118"/>
      <c r="J50" s="1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0"/>
      <c r="C51" s="76"/>
      <c r="D51" s="59"/>
      <c r="E51" s="65">
        <f t="shared" si="11"/>
        <v>0</v>
      </c>
      <c r="F51" s="109"/>
      <c r="G51" s="118"/>
      <c r="H51" s="118"/>
      <c r="I51" s="118"/>
      <c r="J51" s="1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3"/>
      <c r="C52" s="76"/>
      <c r="D52" s="59"/>
      <c r="E52" s="65">
        <f t="shared" si="11"/>
        <v>0</v>
      </c>
      <c r="F52" s="109"/>
      <c r="G52" s="118"/>
      <c r="H52" s="118"/>
      <c r="I52" s="118"/>
      <c r="J52" s="1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0"/>
      <c r="C53" s="76"/>
      <c r="D53" s="59"/>
      <c r="E53" s="65">
        <f t="shared" si="11"/>
        <v>0</v>
      </c>
      <c r="F53" s="109"/>
      <c r="G53" s="118"/>
      <c r="H53" s="118"/>
      <c r="I53" s="118"/>
      <c r="J53" s="1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2" t="s">
        <v>262</v>
      </c>
      <c r="C54" s="73">
        <f t="shared" ref="C54:D54" si="12">SUM(C34:C53)</f>
        <v>0</v>
      </c>
      <c r="D54" s="73">
        <f t="shared" si="12"/>
        <v>0</v>
      </c>
      <c r="E54" s="73">
        <f t="shared" si="11"/>
        <v>0</v>
      </c>
      <c r="F54" s="74"/>
      <c r="G54" s="118"/>
      <c r="H54" s="119"/>
      <c r="I54" s="120"/>
      <c r="J54" s="1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18"/>
      <c r="H55" s="119"/>
      <c r="I55" s="121"/>
      <c r="J55" s="1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2" t="s">
        <v>263</v>
      </c>
      <c r="C56" s="123">
        <f>C16+C30+D54</f>
        <v>312176.9333</v>
      </c>
      <c r="D56" s="124"/>
      <c r="E56" s="124"/>
      <c r="F56" s="1"/>
      <c r="G56" s="118"/>
      <c r="H56" s="119"/>
      <c r="I56" s="121"/>
      <c r="J56" s="1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18"/>
      <c r="H57" s="118"/>
      <c r="I57" s="118"/>
      <c r="J57" s="1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5" t="s">
        <v>264</v>
      </c>
      <c r="H58" s="46"/>
      <c r="I58" s="46"/>
      <c r="J58" s="4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6"/>
      <c r="H59" s="56" t="s">
        <v>3</v>
      </c>
      <c r="I59" s="56" t="s">
        <v>133</v>
      </c>
      <c r="J59" s="5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6"/>
      <c r="H60" s="127" t="s">
        <v>223</v>
      </c>
      <c r="I60" s="128">
        <f>I39</f>
        <v>-312176.9333</v>
      </c>
      <c r="J60" s="12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6"/>
      <c r="H61" s="127" t="s">
        <v>265</v>
      </c>
      <c r="I61" s="130">
        <f>C29</f>
        <v>14433.83333</v>
      </c>
      <c r="J61" s="131" t="s">
        <v>266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2"/>
      <c r="H62" s="72" t="s">
        <v>267</v>
      </c>
      <c r="I62" s="73">
        <f>I60+I61+M37-M41</f>
        <v>-297743.1</v>
      </c>
      <c r="J62" s="133" t="s">
        <v>268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18"/>
      <c r="H63" s="118"/>
      <c r="I63" s="118"/>
      <c r="J63" s="1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6"/>
      <c r="H64" s="127" t="s">
        <v>269</v>
      </c>
      <c r="I64" s="130">
        <f>D54</f>
        <v>0</v>
      </c>
      <c r="J64" s="131" t="s">
        <v>270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2"/>
      <c r="H65" s="72" t="s">
        <v>271</v>
      </c>
      <c r="I65" s="73">
        <f>-I64</f>
        <v>0</v>
      </c>
      <c r="J65" s="133" t="s">
        <v>272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18"/>
      <c r="H66" s="118"/>
      <c r="I66" s="118"/>
      <c r="J66" s="1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6"/>
      <c r="H67" s="127" t="s">
        <v>273</v>
      </c>
      <c r="I67" s="130" t="str">
        <f>C6</f>
        <v/>
      </c>
      <c r="J67" s="12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2"/>
      <c r="H68" s="72" t="s">
        <v>274</v>
      </c>
      <c r="I68" s="73" t="str">
        <f>I67</f>
        <v/>
      </c>
      <c r="J68" s="1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18"/>
      <c r="H69" s="118"/>
      <c r="I69" s="118"/>
      <c r="J69" s="1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3" t="s">
        <v>275</v>
      </c>
      <c r="H70" s="46"/>
      <c r="I70" s="46"/>
      <c r="J70" s="4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4"/>
      <c r="H71" s="58" t="s">
        <v>276</v>
      </c>
      <c r="I71" s="89">
        <f>C5</f>
        <v>835873.9</v>
      </c>
      <c r="J71" s="13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4"/>
      <c r="H72" s="58" t="s">
        <v>277</v>
      </c>
      <c r="I72" s="104">
        <f>I62</f>
        <v>-297743.1</v>
      </c>
      <c r="J72" s="13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4"/>
      <c r="H73" s="58" t="s">
        <v>278</v>
      </c>
      <c r="I73" s="104">
        <f>I65</f>
        <v>0</v>
      </c>
      <c r="J73" s="1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4"/>
      <c r="H74" s="58" t="s">
        <v>279</v>
      </c>
      <c r="I74" s="104" t="str">
        <f>I68</f>
        <v/>
      </c>
      <c r="J74" s="1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6"/>
      <c r="H75" s="137" t="s">
        <v>280</v>
      </c>
      <c r="I75" s="138">
        <f>I71+I72+I73+I74</f>
        <v>538130.8</v>
      </c>
      <c r="J75" s="139" t="s">
        <v>281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18"/>
      <c r="H76" s="118"/>
      <c r="I76" s="118"/>
      <c r="J76" s="1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18"/>
      <c r="H77" s="95" t="s">
        <v>282</v>
      </c>
      <c r="I77" s="118"/>
      <c r="J77" s="1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4"/>
      <c r="H78" s="140" t="s">
        <v>283</v>
      </c>
      <c r="I78" s="141">
        <f>I39</f>
        <v>-312176.9333</v>
      </c>
      <c r="J78" s="1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4"/>
      <c r="H79" s="140" t="s">
        <v>284</v>
      </c>
      <c r="I79" s="141">
        <f>I72+I73+I74</f>
        <v>-297743.1</v>
      </c>
      <c r="J79" s="1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2"/>
      <c r="H80" s="143" t="s">
        <v>285</v>
      </c>
      <c r="I80" s="144">
        <f>I79-I78</f>
        <v>14433.83333</v>
      </c>
      <c r="J80" s="143" t="s">
        <v>286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18"/>
      <c r="H81" s="118"/>
      <c r="I81" s="118"/>
      <c r="J81" s="1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6"/>
      <c r="H82" s="145" t="s">
        <v>287</v>
      </c>
      <c r="I82" s="146">
        <f>I75</f>
        <v>538130.8</v>
      </c>
      <c r="J82" s="147" t="s">
        <v>288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48"/>
      <c r="H83" s="149" t="s">
        <v>289</v>
      </c>
      <c r="I83" s="150">
        <f>I75-M37</f>
        <v>538130.8</v>
      </c>
      <c r="J83" s="151" t="s">
        <v>290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18"/>
      <c r="H84" s="118"/>
      <c r="I84" s="118"/>
      <c r="J84" s="1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4" t="s">
        <v>338</v>
      </c>
      <c r="K1" s="1"/>
      <c r="L1" s="1"/>
      <c r="M1" s="1"/>
      <c r="N1" s="1"/>
      <c r="O1" s="1"/>
      <c r="P1" s="1"/>
      <c r="Q1" s="1"/>
      <c r="R1" s="1"/>
      <c r="S1" s="1"/>
      <c r="T1" s="1"/>
      <c r="U1" s="45" t="s">
        <v>137</v>
      </c>
      <c r="V1" s="46"/>
      <c r="W1" s="46"/>
      <c r="X1" s="46"/>
      <c r="Y1" s="46"/>
      <c r="Z1" s="1"/>
    </row>
    <row r="2" ht="21.0" customHeight="1">
      <c r="A2" s="1"/>
      <c r="B2" s="47" t="s">
        <v>138</v>
      </c>
      <c r="C2" s="48">
        <f>I75</f>
        <v>240387.7</v>
      </c>
      <c r="D2" s="1"/>
      <c r="E2" s="49" t="s">
        <v>139</v>
      </c>
      <c r="F2" s="50">
        <f>C16+SUM(C20:C23)+SUM(C25:C28)+M36+D54+M41</f>
        <v>0</v>
      </c>
      <c r="G2" s="1"/>
      <c r="H2" s="49" t="s">
        <v>140</v>
      </c>
      <c r="I2" s="51">
        <f>I39</f>
        <v>-312176.9333</v>
      </c>
      <c r="J2" s="1"/>
      <c r="K2" s="1"/>
      <c r="L2" s="47" t="s">
        <v>141</v>
      </c>
      <c r="M2" s="52">
        <f>'3月'!C20+'3月'!C21+'3月'!C22+'3月'!C23+'3月'!C25</f>
        <v>0</v>
      </c>
      <c r="N2" s="1"/>
      <c r="O2" s="1"/>
      <c r="P2" s="1"/>
      <c r="Q2" s="1"/>
      <c r="R2" s="1"/>
      <c r="S2" s="1"/>
      <c r="T2" s="1"/>
      <c r="U2" s="3" t="s">
        <v>142</v>
      </c>
      <c r="Z2" s="1"/>
    </row>
    <row r="3" ht="15.0" customHeight="1">
      <c r="A3" s="1"/>
      <c r="B3" s="53" t="s">
        <v>143</v>
      </c>
      <c r="C3" s="46"/>
      <c r="D3" s="46"/>
      <c r="E3" s="46"/>
      <c r="F3" s="1"/>
      <c r="G3" s="54" t="s">
        <v>144</v>
      </c>
      <c r="H3" s="46"/>
      <c r="I3" s="46"/>
      <c r="J3" s="46"/>
      <c r="K3" s="1"/>
      <c r="L3" s="55" t="s">
        <v>145</v>
      </c>
      <c r="M3" s="46"/>
      <c r="N3" s="46"/>
      <c r="O3" s="46"/>
      <c r="P3" s="46"/>
      <c r="Q3" s="46"/>
      <c r="R3" s="46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6" t="s">
        <v>146</v>
      </c>
      <c r="C4" s="56" t="s">
        <v>133</v>
      </c>
      <c r="D4" s="56" t="s">
        <v>147</v>
      </c>
      <c r="E4" s="56" t="s">
        <v>148</v>
      </c>
      <c r="F4" s="1"/>
      <c r="G4" s="56" t="s">
        <v>70</v>
      </c>
      <c r="H4" s="56" t="s">
        <v>133</v>
      </c>
      <c r="I4" s="56" t="s">
        <v>147</v>
      </c>
      <c r="J4" s="56" t="s">
        <v>148</v>
      </c>
      <c r="K4" s="1"/>
      <c r="L4" s="56" t="s">
        <v>149</v>
      </c>
      <c r="M4" s="56" t="s">
        <v>150</v>
      </c>
      <c r="N4" s="56" t="s">
        <v>151</v>
      </c>
      <c r="O4" s="56" t="s">
        <v>152</v>
      </c>
      <c r="P4" s="56" t="s">
        <v>153</v>
      </c>
      <c r="Q4" s="56" t="s">
        <v>154</v>
      </c>
      <c r="R4" s="56" t="s">
        <v>155</v>
      </c>
      <c r="S4" s="1"/>
      <c r="T4" s="1"/>
      <c r="U4" s="57" t="s">
        <v>156</v>
      </c>
      <c r="V4" s="46"/>
      <c r="W4" s="46"/>
      <c r="X4" s="46"/>
      <c r="Y4" s="46"/>
      <c r="Z4" s="1"/>
    </row>
    <row r="5" ht="15.0" customHeight="1">
      <c r="A5" s="1"/>
      <c r="B5" s="58" t="s">
        <v>292</v>
      </c>
      <c r="C5" s="52">
        <f>'1月'!I75</f>
        <v>538130.8</v>
      </c>
      <c r="D5" s="60"/>
      <c r="E5" s="152"/>
      <c r="F5" s="1"/>
      <c r="G5" s="58" t="s">
        <v>158</v>
      </c>
      <c r="H5" s="52">
        <f>'2月日次売上'!C32</f>
        <v>0</v>
      </c>
      <c r="I5" s="60"/>
      <c r="J5" s="152"/>
      <c r="K5" s="1"/>
      <c r="L5" s="60"/>
      <c r="M5" s="59"/>
      <c r="N5" s="63"/>
      <c r="O5" s="64"/>
      <c r="P5" s="59"/>
      <c r="Q5" s="65">
        <f t="shared" ref="Q5:Q12" si="1">M5*N5*O5</f>
        <v>0</v>
      </c>
      <c r="R5" s="65">
        <f t="shared" ref="R5:R12" si="2">P5*N5</f>
        <v>0</v>
      </c>
      <c r="S5" s="1"/>
      <c r="T5" s="1"/>
      <c r="U5" s="66" t="s">
        <v>3</v>
      </c>
      <c r="V5" s="67" t="s">
        <v>159</v>
      </c>
      <c r="W5" s="67" t="s">
        <v>160</v>
      </c>
      <c r="X5" s="67" t="s">
        <v>161</v>
      </c>
      <c r="Y5" s="66" t="s">
        <v>162</v>
      </c>
      <c r="Z5" s="1"/>
    </row>
    <row r="6" ht="15.0" customHeight="1">
      <c r="A6" s="1"/>
      <c r="B6" s="58" t="s">
        <v>163</v>
      </c>
      <c r="C6" s="59"/>
      <c r="D6" s="60"/>
      <c r="E6" s="152"/>
      <c r="F6" s="1"/>
      <c r="G6" s="58" t="s">
        <v>164</v>
      </c>
      <c r="H6" s="52">
        <f>'2月日次売上'!D32</f>
        <v>0</v>
      </c>
      <c r="I6" s="60"/>
      <c r="J6" s="152"/>
      <c r="K6" s="1"/>
      <c r="L6" s="60"/>
      <c r="M6" s="59"/>
      <c r="N6" s="63"/>
      <c r="O6" s="64"/>
      <c r="P6" s="59"/>
      <c r="Q6" s="65">
        <f t="shared" si="1"/>
        <v>0</v>
      </c>
      <c r="R6" s="65">
        <f t="shared" si="2"/>
        <v>0</v>
      </c>
      <c r="S6" s="1"/>
      <c r="T6" s="1"/>
      <c r="U6" s="6" t="s">
        <v>165</v>
      </c>
      <c r="V6" s="69">
        <f>'売上計画'!M38</f>
        <v>14</v>
      </c>
      <c r="W6" s="70">
        <f>IF(H26=0,"",H24/H26/2)</f>
        <v>0</v>
      </c>
      <c r="X6" s="69">
        <f t="shared" ref="X6:X7" si="3">IF(W6="",0,W6-V6)</f>
        <v>-14</v>
      </c>
      <c r="Y6" s="71">
        <f t="shared" ref="Y6:Y7" si="4">IF(OR(W6="",V6=0),0,W6/V6)</f>
        <v>0</v>
      </c>
      <c r="Z6" s="1"/>
    </row>
    <row r="7" ht="15.0" customHeight="1">
      <c r="A7" s="1"/>
      <c r="B7" s="72" t="s">
        <v>166</v>
      </c>
      <c r="C7" s="73">
        <f>SUM(C5:C6)</f>
        <v>538130.8</v>
      </c>
      <c r="D7" s="74"/>
      <c r="E7" s="74"/>
      <c r="F7" s="1"/>
      <c r="G7" s="58" t="s">
        <v>167</v>
      </c>
      <c r="H7" s="52">
        <f>'2月日次売上'!E32</f>
        <v>0</v>
      </c>
      <c r="I7" s="60"/>
      <c r="J7" s="152"/>
      <c r="K7" s="1"/>
      <c r="L7" s="60"/>
      <c r="M7" s="59"/>
      <c r="N7" s="63"/>
      <c r="O7" s="64"/>
      <c r="P7" s="59"/>
      <c r="Q7" s="65">
        <f t="shared" si="1"/>
        <v>0</v>
      </c>
      <c r="R7" s="65">
        <f t="shared" si="2"/>
        <v>0</v>
      </c>
      <c r="S7" s="1"/>
      <c r="T7" s="1"/>
      <c r="U7" s="6" t="s">
        <v>168</v>
      </c>
      <c r="V7" s="69">
        <f>'売上計画'!M39</f>
        <v>14</v>
      </c>
      <c r="W7" s="70">
        <f>IF(H26=0,"",H24/H26/2)</f>
        <v>0</v>
      </c>
      <c r="X7" s="69">
        <f t="shared" si="3"/>
        <v>-14</v>
      </c>
      <c r="Y7" s="71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58" t="s">
        <v>169</v>
      </c>
      <c r="H8" s="52">
        <f>'2月日次売上'!F32</f>
        <v>0</v>
      </c>
      <c r="I8" s="60"/>
      <c r="J8" s="152"/>
      <c r="K8" s="1"/>
      <c r="L8" s="60"/>
      <c r="M8" s="59"/>
      <c r="N8" s="63"/>
      <c r="O8" s="64"/>
      <c r="P8" s="59"/>
      <c r="Q8" s="65">
        <f t="shared" si="1"/>
        <v>0</v>
      </c>
      <c r="R8" s="65">
        <f t="shared" si="2"/>
        <v>0</v>
      </c>
      <c r="S8" s="1"/>
      <c r="T8" s="1"/>
      <c r="U8" s="6" t="s">
        <v>170</v>
      </c>
      <c r="V8" s="69">
        <f>'売上計画'!M45</f>
        <v>1038800</v>
      </c>
      <c r="W8" s="69">
        <f>H20</f>
        <v>0</v>
      </c>
      <c r="X8" s="69">
        <f t="shared" ref="X8:X9" si="5">W8-V8</f>
        <v>-1038800</v>
      </c>
      <c r="Y8" s="71">
        <f t="shared" ref="Y8:Y9" si="6">IF(V8=0,0,W8/V8)</f>
        <v>0</v>
      </c>
      <c r="Z8" s="1"/>
    </row>
    <row r="9" ht="15.0" customHeight="1">
      <c r="A9" s="1"/>
      <c r="B9" s="75" t="s">
        <v>171</v>
      </c>
      <c r="C9" s="46"/>
      <c r="D9" s="46"/>
      <c r="E9" s="46"/>
      <c r="F9" s="1"/>
      <c r="G9" s="58" t="s">
        <v>172</v>
      </c>
      <c r="H9" s="52">
        <f>'2月日次売上'!G32</f>
        <v>0</v>
      </c>
      <c r="I9" s="60"/>
      <c r="J9" s="152"/>
      <c r="K9" s="1"/>
      <c r="L9" s="60"/>
      <c r="M9" s="59"/>
      <c r="N9" s="63"/>
      <c r="O9" s="64"/>
      <c r="P9" s="59"/>
      <c r="Q9" s="65">
        <f t="shared" si="1"/>
        <v>0</v>
      </c>
      <c r="R9" s="65">
        <f t="shared" si="2"/>
        <v>0</v>
      </c>
      <c r="S9" s="1"/>
      <c r="T9" s="1"/>
      <c r="U9" s="6" t="s">
        <v>173</v>
      </c>
      <c r="V9" s="69">
        <f>IF((V6*'売上計画'!$C$7+V7*'売上計画'!$C$8)=0,0,V8/(V6*'売上計画'!$C$7+V7*'売上計画'!$C$8))</f>
        <v>1236.666667</v>
      </c>
      <c r="W9" s="69">
        <f>H25</f>
        <v>0</v>
      </c>
      <c r="X9" s="69">
        <f t="shared" si="5"/>
        <v>-1236.666667</v>
      </c>
      <c r="Y9" s="71">
        <f t="shared" si="6"/>
        <v>0</v>
      </c>
      <c r="Z9" s="1"/>
    </row>
    <row r="10" ht="15.0" customHeight="1">
      <c r="A10" s="1"/>
      <c r="B10" s="56" t="s">
        <v>146</v>
      </c>
      <c r="C10" s="56" t="s">
        <v>133</v>
      </c>
      <c r="D10" s="56" t="s">
        <v>147</v>
      </c>
      <c r="E10" s="56" t="s">
        <v>148</v>
      </c>
      <c r="F10" s="1"/>
      <c r="G10" s="58" t="s">
        <v>174</v>
      </c>
      <c r="H10" s="52">
        <f>'2月日次売上'!H32</f>
        <v>0</v>
      </c>
      <c r="I10" s="60"/>
      <c r="J10" s="152"/>
      <c r="K10" s="1"/>
      <c r="L10" s="60"/>
      <c r="M10" s="59"/>
      <c r="N10" s="63"/>
      <c r="O10" s="64"/>
      <c r="P10" s="59"/>
      <c r="Q10" s="65">
        <f t="shared" si="1"/>
        <v>0</v>
      </c>
      <c r="R10" s="65">
        <f t="shared" si="2"/>
        <v>0</v>
      </c>
      <c r="S10" s="1"/>
      <c r="T10" s="1"/>
      <c r="U10" s="1"/>
      <c r="V10" s="70"/>
      <c r="W10" s="70"/>
      <c r="X10" s="70"/>
      <c r="Y10" s="1"/>
      <c r="Z10" s="1"/>
    </row>
    <row r="11" ht="15.0" customHeight="1">
      <c r="A11" s="1"/>
      <c r="B11" s="58" t="s">
        <v>175</v>
      </c>
      <c r="C11" s="76">
        <f>SUMIFS('freee実績'!$E:$E,'freee実績'!$B:$B,"2027-02",'freee実績'!$C:$C,"仕入高",'freee実績'!$D:$D,"コーヒー豆・茶葉")</f>
        <v>0</v>
      </c>
      <c r="D11" s="60"/>
      <c r="E11" s="152"/>
      <c r="F11" s="1"/>
      <c r="G11" s="72" t="s">
        <v>176</v>
      </c>
      <c r="H11" s="73">
        <f>SUM(H5:H10)</f>
        <v>0</v>
      </c>
      <c r="I11" s="74"/>
      <c r="J11" s="74"/>
      <c r="K11" s="1"/>
      <c r="L11" s="60"/>
      <c r="M11" s="59"/>
      <c r="N11" s="63"/>
      <c r="O11" s="64"/>
      <c r="P11" s="59"/>
      <c r="Q11" s="65">
        <f t="shared" si="1"/>
        <v>0</v>
      </c>
      <c r="R11" s="65">
        <f t="shared" si="2"/>
        <v>0</v>
      </c>
      <c r="S11" s="1"/>
      <c r="T11" s="1"/>
      <c r="U11" s="57" t="s">
        <v>177</v>
      </c>
      <c r="V11" s="46"/>
      <c r="W11" s="46"/>
      <c r="X11" s="46"/>
      <c r="Y11" s="46"/>
      <c r="Z11" s="1"/>
    </row>
    <row r="12" ht="15.0" customHeight="1">
      <c r="A12" s="1"/>
      <c r="B12" s="58" t="s">
        <v>178</v>
      </c>
      <c r="C12" s="76">
        <f>SUMIFS('freee実績'!$E:$E,'freee実績'!$B:$B,"2027-02",'freee実績'!$C:$C,"仕入高",'freee実績'!$D:$D,"牛乳・シロップ等")</f>
        <v>0</v>
      </c>
      <c r="D12" s="60"/>
      <c r="E12" s="152"/>
      <c r="F12" s="1"/>
      <c r="G12" s="1"/>
      <c r="H12" s="1"/>
      <c r="I12" s="1"/>
      <c r="J12" s="1"/>
      <c r="K12" s="1"/>
      <c r="L12" s="60"/>
      <c r="M12" s="59"/>
      <c r="N12" s="63"/>
      <c r="O12" s="64"/>
      <c r="P12" s="59"/>
      <c r="Q12" s="65">
        <f t="shared" si="1"/>
        <v>0</v>
      </c>
      <c r="R12" s="65">
        <f t="shared" si="2"/>
        <v>0</v>
      </c>
      <c r="S12" s="1"/>
      <c r="T12" s="1"/>
      <c r="U12" s="66" t="s">
        <v>3</v>
      </c>
      <c r="V12" s="67" t="s">
        <v>159</v>
      </c>
      <c r="W12" s="67" t="s">
        <v>160</v>
      </c>
      <c r="X12" s="67" t="s">
        <v>161</v>
      </c>
      <c r="Y12" s="66" t="s">
        <v>179</v>
      </c>
      <c r="Z12" s="1"/>
    </row>
    <row r="13" ht="15.0" customHeight="1">
      <c r="A13" s="1"/>
      <c r="B13" s="58" t="s">
        <v>180</v>
      </c>
      <c r="C13" s="76">
        <f>SUMIFS('freee実績'!$E:$E,'freee実績'!$B:$B,"2027-02",'freee実績'!$C:$C,"仕入高",'freee実績'!$D:$D,"フード材料費")</f>
        <v>0</v>
      </c>
      <c r="D13" s="60"/>
      <c r="E13" s="152"/>
      <c r="F13" s="1"/>
      <c r="G13" s="54" t="s">
        <v>181</v>
      </c>
      <c r="H13" s="46"/>
      <c r="I13" s="46"/>
      <c r="J13" s="46"/>
      <c r="K13" s="1"/>
      <c r="L13" s="72" t="s">
        <v>182</v>
      </c>
      <c r="M13" s="74"/>
      <c r="N13" s="74"/>
      <c r="O13" s="74"/>
      <c r="P13" s="74"/>
      <c r="Q13" s="73">
        <f t="shared" ref="Q13:R13" si="7">SUM(Q5:Q12)</f>
        <v>0</v>
      </c>
      <c r="R13" s="73">
        <f t="shared" si="7"/>
        <v>0</v>
      </c>
      <c r="S13" s="1"/>
      <c r="T13" s="1"/>
      <c r="U13" s="6" t="s">
        <v>183</v>
      </c>
      <c r="V13" s="69">
        <f>'売上計画'!M46</f>
        <v>311640</v>
      </c>
      <c r="W13" s="69">
        <f>C16</f>
        <v>0</v>
      </c>
      <c r="X13" s="69">
        <f t="shared" ref="X13:X14" si="8">W13-V13</f>
        <v>-311640</v>
      </c>
      <c r="Y13" s="71">
        <f>IF(W8=0,0,W13/W8)</f>
        <v>0</v>
      </c>
      <c r="Z13" s="1"/>
    </row>
    <row r="14" ht="15.0" customHeight="1">
      <c r="A14" s="1"/>
      <c r="B14" s="58" t="s">
        <v>184</v>
      </c>
      <c r="C14" s="76">
        <f>SUMIFS('freee実績'!$E:$E,'freee実績'!$B:$B,"2027-02",'freee実績'!$C:$C,"仕入高",'freee実績'!$D:$D,"包装資材・消耗品")</f>
        <v>0</v>
      </c>
      <c r="D14" s="60"/>
      <c r="E14" s="152"/>
      <c r="F14" s="1"/>
      <c r="G14" s="56" t="s">
        <v>70</v>
      </c>
      <c r="H14" s="56" t="s">
        <v>133</v>
      </c>
      <c r="I14" s="56" t="s">
        <v>147</v>
      </c>
      <c r="J14" s="56" t="s">
        <v>148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185</v>
      </c>
      <c r="V14" s="69">
        <f>'売上計画'!M47</f>
        <v>727160</v>
      </c>
      <c r="W14" s="69">
        <f>H20-C16</f>
        <v>0</v>
      </c>
      <c r="X14" s="69">
        <f t="shared" si="8"/>
        <v>-727160</v>
      </c>
      <c r="Y14" s="71">
        <f>IF(W8=0,0,W14/W8)</f>
        <v>0</v>
      </c>
      <c r="Z14" s="1"/>
    </row>
    <row r="15" ht="15.0" customHeight="1">
      <c r="A15" s="1"/>
      <c r="B15" s="58" t="s">
        <v>186</v>
      </c>
      <c r="C15" s="76">
        <f>SUMIFS('freee実績'!$E:$E,'freee実績'!$B:$B,"2027-02",'freee実績'!$C:$C,"仕入高",'freee実績'!$D:$D,"その他原価")</f>
        <v>0</v>
      </c>
      <c r="D15" s="60"/>
      <c r="E15" s="152"/>
      <c r="F15" s="1"/>
      <c r="G15" s="58" t="s">
        <v>187</v>
      </c>
      <c r="H15" s="52">
        <f>'2月日次売上'!I32</f>
        <v>0</v>
      </c>
      <c r="I15" s="60"/>
      <c r="J15" s="152"/>
      <c r="K15" s="1"/>
      <c r="L15" s="77" t="s">
        <v>188</v>
      </c>
      <c r="M15" s="46"/>
      <c r="N15" s="46"/>
      <c r="O15" s="46"/>
      <c r="P15" s="46"/>
      <c r="Q15" s="46"/>
      <c r="R15" s="46"/>
      <c r="S15" s="1"/>
      <c r="T15" s="1"/>
      <c r="U15" s="1"/>
      <c r="V15" s="70"/>
      <c r="W15" s="70"/>
      <c r="X15" s="70"/>
      <c r="Y15" s="1"/>
      <c r="Z15" s="1"/>
    </row>
    <row r="16" ht="15.0" customHeight="1">
      <c r="A16" s="1"/>
      <c r="B16" s="72" t="s">
        <v>189</v>
      </c>
      <c r="C16" s="73">
        <f>SUM(C11:C15)</f>
        <v>0</v>
      </c>
      <c r="D16" s="74"/>
      <c r="E16" s="74"/>
      <c r="F16" s="1"/>
      <c r="G16" s="58" t="s">
        <v>190</v>
      </c>
      <c r="H16" s="76"/>
      <c r="I16" s="60"/>
      <c r="J16" s="152"/>
      <c r="K16" s="1"/>
      <c r="L16" s="56" t="s">
        <v>3</v>
      </c>
      <c r="M16" s="56" t="s">
        <v>191</v>
      </c>
      <c r="N16" s="56"/>
      <c r="O16" s="56"/>
      <c r="P16" s="56"/>
      <c r="Q16" s="56"/>
      <c r="R16" s="56" t="s">
        <v>5</v>
      </c>
      <c r="S16" s="1"/>
      <c r="T16" s="1"/>
      <c r="U16" s="57" t="s">
        <v>192</v>
      </c>
      <c r="V16" s="46"/>
      <c r="W16" s="46"/>
      <c r="X16" s="46"/>
      <c r="Y16" s="46"/>
      <c r="Z16" s="1"/>
    </row>
    <row r="17" ht="15.0" customHeight="1">
      <c r="A17" s="1"/>
      <c r="B17" s="1"/>
      <c r="C17" s="1"/>
      <c r="D17" s="1"/>
      <c r="E17" s="1"/>
      <c r="F17" s="1"/>
      <c r="G17" s="58" t="s">
        <v>193</v>
      </c>
      <c r="H17" s="76"/>
      <c r="I17" s="60"/>
      <c r="J17" s="152"/>
      <c r="K17" s="1"/>
      <c r="L17" s="58" t="s">
        <v>194</v>
      </c>
      <c r="M17" s="59"/>
      <c r="N17" s="78"/>
      <c r="O17" s="78"/>
      <c r="P17" s="78"/>
      <c r="Q17" s="78"/>
      <c r="R17" s="152"/>
      <c r="S17" s="1"/>
      <c r="T17" s="1"/>
      <c r="U17" s="66" t="s">
        <v>3</v>
      </c>
      <c r="V17" s="67" t="s">
        <v>159</v>
      </c>
      <c r="W17" s="67" t="s">
        <v>160</v>
      </c>
      <c r="X17" s="67" t="s">
        <v>161</v>
      </c>
      <c r="Y17" s="1"/>
      <c r="Z17" s="1"/>
    </row>
    <row r="18" ht="15.0" customHeight="1">
      <c r="A18" s="1"/>
      <c r="B18" s="77" t="s">
        <v>195</v>
      </c>
      <c r="C18" s="46"/>
      <c r="D18" s="46"/>
      <c r="E18" s="46"/>
      <c r="F18" s="1"/>
      <c r="G18" s="72" t="s">
        <v>196</v>
      </c>
      <c r="H18" s="73">
        <f>SUM(H15:H17)</f>
        <v>0</v>
      </c>
      <c r="I18" s="74"/>
      <c r="J18" s="74"/>
      <c r="K18" s="1"/>
      <c r="L18" s="58" t="s">
        <v>197</v>
      </c>
      <c r="M18" s="59"/>
      <c r="N18" s="78"/>
      <c r="O18" s="78"/>
      <c r="P18" s="78"/>
      <c r="Q18" s="78"/>
      <c r="R18" s="152"/>
      <c r="S18" s="1"/>
      <c r="T18" s="1"/>
      <c r="U18" s="6" t="s">
        <v>198</v>
      </c>
      <c r="V18" s="69">
        <f>'売上計画'!M54</f>
        <v>42</v>
      </c>
      <c r="W18" s="69">
        <f>C24</f>
        <v>297743.1</v>
      </c>
      <c r="X18" s="69">
        <f t="shared" ref="X18:X21" si="9">W18-V18</f>
        <v>297701.1</v>
      </c>
      <c r="Y18" s="1"/>
      <c r="Z18" s="1"/>
    </row>
    <row r="19" ht="15.0" customHeight="1">
      <c r="A19" s="1"/>
      <c r="B19" s="56" t="s">
        <v>146</v>
      </c>
      <c r="C19" s="56" t="s">
        <v>133</v>
      </c>
      <c r="D19" s="56" t="s">
        <v>147</v>
      </c>
      <c r="E19" s="56" t="s">
        <v>148</v>
      </c>
      <c r="F19" s="1"/>
      <c r="G19" s="1"/>
      <c r="H19" s="1"/>
      <c r="I19" s="1"/>
      <c r="J19" s="1"/>
      <c r="K19" s="1"/>
      <c r="L19" s="58" t="s">
        <v>199</v>
      </c>
      <c r="M19" s="59"/>
      <c r="N19" s="78"/>
      <c r="O19" s="78"/>
      <c r="P19" s="78"/>
      <c r="Q19" s="78"/>
      <c r="R19" s="152"/>
      <c r="S19" s="1"/>
      <c r="T19" s="1"/>
      <c r="U19" s="6" t="s">
        <v>200</v>
      </c>
      <c r="V19" s="69">
        <f>'売上計画'!M57</f>
        <v>498</v>
      </c>
      <c r="W19" s="69">
        <f>C20+C21+C22+C23</f>
        <v>0</v>
      </c>
      <c r="X19" s="69">
        <f t="shared" si="9"/>
        <v>-498</v>
      </c>
      <c r="Y19" s="1"/>
      <c r="Z19" s="1"/>
    </row>
    <row r="20" ht="15.0" customHeight="1">
      <c r="A20" s="1"/>
      <c r="B20" s="79" t="s">
        <v>201</v>
      </c>
      <c r="C20" s="80">
        <f>SUMIFS('freee実績'!$E:$E,'freee実績'!$B:$B,"2027-02",'freee実績'!$C:$C,"地代家賃")</f>
        <v>0</v>
      </c>
      <c r="D20" s="81" t="s">
        <v>202</v>
      </c>
      <c r="E20" s="152"/>
      <c r="F20" s="1"/>
      <c r="G20" s="82" t="s">
        <v>203</v>
      </c>
      <c r="H20" s="83">
        <f>H11+H18</f>
        <v>0</v>
      </c>
      <c r="I20" s="84"/>
      <c r="J20" s="84"/>
      <c r="K20" s="1"/>
      <c r="L20" s="58" t="s">
        <v>204</v>
      </c>
      <c r="M20" s="59"/>
      <c r="N20" s="78"/>
      <c r="O20" s="78"/>
      <c r="P20" s="78"/>
      <c r="Q20" s="78"/>
      <c r="R20" s="152"/>
      <c r="S20" s="1"/>
      <c r="T20" s="1"/>
      <c r="U20" s="6" t="s">
        <v>205</v>
      </c>
      <c r="V20" s="69">
        <f>'売上計画'!M58</f>
        <v>0</v>
      </c>
      <c r="W20" s="69">
        <f>C25</f>
        <v>0</v>
      </c>
      <c r="X20" s="69">
        <f t="shared" si="9"/>
        <v>0</v>
      </c>
      <c r="Y20" s="1"/>
      <c r="Z20" s="1"/>
    </row>
    <row r="21" ht="15.0" customHeight="1">
      <c r="A21" s="1"/>
      <c r="B21" s="79" t="s">
        <v>206</v>
      </c>
      <c r="C21" s="80">
        <f>SUMIFS('freee実績'!$E:$E,'freee実績'!$B:$B,"2027-02",'freee実績'!$C:$C,"水道光熱費")</f>
        <v>0</v>
      </c>
      <c r="D21" s="81" t="s">
        <v>202</v>
      </c>
      <c r="E21" s="152"/>
      <c r="F21" s="1"/>
      <c r="G21" s="1"/>
      <c r="H21" s="1"/>
      <c r="I21" s="1"/>
      <c r="J21" s="1"/>
      <c r="K21" s="1"/>
      <c r="L21" s="72" t="s">
        <v>207</v>
      </c>
      <c r="M21" s="73">
        <f>SUM(M17:M20)</f>
        <v>0</v>
      </c>
      <c r="N21" s="74"/>
      <c r="O21" s="74"/>
      <c r="P21" s="74"/>
      <c r="Q21" s="74"/>
      <c r="R21" s="74"/>
      <c r="S21" s="1"/>
      <c r="T21" s="1"/>
      <c r="U21" s="6" t="s">
        <v>208</v>
      </c>
      <c r="V21" s="69">
        <f>'売上計画'!M59</f>
        <v>0</v>
      </c>
      <c r="W21" s="69">
        <f>C30</f>
        <v>312176.9333</v>
      </c>
      <c r="X21" s="69">
        <f t="shared" si="9"/>
        <v>312176.9333</v>
      </c>
      <c r="Y21" s="1"/>
      <c r="Z21" s="1"/>
    </row>
    <row r="22" ht="16.5" customHeight="1">
      <c r="A22" s="1"/>
      <c r="B22" s="79" t="s">
        <v>209</v>
      </c>
      <c r="C22" s="80">
        <f>SUMIFS('freee実績'!$E:$E,'freee実績'!$B:$B,"2027-02",'freee実績'!$C:$C,"通信費")</f>
        <v>0</v>
      </c>
      <c r="D22" s="81" t="s">
        <v>202</v>
      </c>
      <c r="E22" s="152"/>
      <c r="F22" s="1"/>
      <c r="G22" s="85" t="s">
        <v>210</v>
      </c>
      <c r="H22" s="46"/>
      <c r="I22" s="46"/>
      <c r="J22" s="4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0"/>
      <c r="W22" s="70"/>
      <c r="X22" s="70"/>
      <c r="Y22" s="1"/>
      <c r="Z22" s="1"/>
    </row>
    <row r="23" ht="15.0" customHeight="1">
      <c r="A23" s="1"/>
      <c r="B23" s="79" t="s">
        <v>211</v>
      </c>
      <c r="C23" s="80">
        <f>SUMIFS('freee実績'!$E:$E,'freee実績'!$B:$B,"2027-02",'freee実績'!$C:$C,"保険料")</f>
        <v>0</v>
      </c>
      <c r="D23" s="81" t="s">
        <v>202</v>
      </c>
      <c r="E23" s="152"/>
      <c r="F23" s="1"/>
      <c r="G23" s="56" t="s">
        <v>212</v>
      </c>
      <c r="H23" s="56" t="s">
        <v>213</v>
      </c>
      <c r="I23" s="56"/>
      <c r="J23" s="56" t="s">
        <v>214</v>
      </c>
      <c r="K23" s="1"/>
      <c r="L23" s="86" t="s">
        <v>215</v>
      </c>
      <c r="M23" s="87">
        <f>Q13+R13+M21</f>
        <v>0</v>
      </c>
      <c r="N23" s="88"/>
      <c r="O23" s="88"/>
      <c r="P23" s="88"/>
      <c r="Q23" s="88"/>
      <c r="R23" s="88"/>
      <c r="S23" s="1"/>
      <c r="T23" s="1"/>
      <c r="U23" s="57" t="s">
        <v>216</v>
      </c>
      <c r="V23" s="46"/>
      <c r="W23" s="46"/>
      <c r="X23" s="46"/>
      <c r="Y23" s="46"/>
      <c r="Z23" s="1"/>
    </row>
    <row r="24" ht="15.0" customHeight="1">
      <c r="A24" s="1"/>
      <c r="B24" s="58" t="s">
        <v>217</v>
      </c>
      <c r="C24" s="89">
        <f>'役員報酬・社保'!C17+'役員報酬・社保'!D17+'役員報酬・社保'!E17+'役員報酬・社保'!F71+86400</f>
        <v>297743.1</v>
      </c>
      <c r="D24" s="90" t="s">
        <v>218</v>
      </c>
      <c r="E24" s="152"/>
      <c r="F24" s="1"/>
      <c r="G24" s="58" t="s">
        <v>219</v>
      </c>
      <c r="H24" s="91">
        <f>'2月日次売上'!J32</f>
        <v>0</v>
      </c>
      <c r="I24" s="78"/>
      <c r="J24" s="92"/>
      <c r="K24" s="1"/>
      <c r="L24" s="1"/>
      <c r="M24" s="1"/>
      <c r="N24" s="1"/>
      <c r="O24" s="1"/>
      <c r="P24" s="1"/>
      <c r="Q24" s="1"/>
      <c r="R24" s="1"/>
      <c r="S24" s="1"/>
      <c r="T24" s="1"/>
      <c r="U24" s="66" t="s">
        <v>3</v>
      </c>
      <c r="V24" s="67" t="s">
        <v>159</v>
      </c>
      <c r="W24" s="67" t="s">
        <v>160</v>
      </c>
      <c r="X24" s="67" t="s">
        <v>161</v>
      </c>
      <c r="Y24" s="66" t="s">
        <v>162</v>
      </c>
      <c r="Z24" s="1"/>
    </row>
    <row r="25" ht="15.0" customHeight="1">
      <c r="A25" s="1"/>
      <c r="B25" s="58" t="s">
        <v>220</v>
      </c>
      <c r="C25" s="93">
        <f>SUMIFS('freee実績'!$E:$E,'freee実績'!$B:$B,"2027-02",'freee実績'!$C:$C,"消耗品費")</f>
        <v>0</v>
      </c>
      <c r="D25" s="90" t="s">
        <v>218</v>
      </c>
      <c r="E25" s="152"/>
      <c r="F25" s="1"/>
      <c r="G25" s="58" t="s">
        <v>173</v>
      </c>
      <c r="H25" s="65">
        <f>IF(H24=0,0,H20/H24)</f>
        <v>0</v>
      </c>
      <c r="I25" s="78"/>
      <c r="J25" s="94" t="s">
        <v>221</v>
      </c>
      <c r="K25" s="1"/>
      <c r="L25" s="95" t="s">
        <v>222</v>
      </c>
      <c r="M25" s="1"/>
      <c r="N25" s="1"/>
      <c r="O25" s="1"/>
      <c r="P25" s="1"/>
      <c r="Q25" s="1"/>
      <c r="R25" s="1"/>
      <c r="S25" s="1"/>
      <c r="T25" s="1"/>
      <c r="U25" s="6" t="s">
        <v>223</v>
      </c>
      <c r="V25" s="69" t="str">
        <f>'売上計画'!M61</f>
        <v/>
      </c>
      <c r="W25" s="69">
        <f>I39</f>
        <v>-312176.9333</v>
      </c>
      <c r="X25" s="69">
        <f t="shared" ref="X25:X26" si="10">W25-V25</f>
        <v>-312176.9333</v>
      </c>
      <c r="Y25" s="71">
        <f>IF(V25=0,0,W25/V25)</f>
        <v>0</v>
      </c>
      <c r="Z25" s="1"/>
    </row>
    <row r="26" ht="15.0" customHeight="1">
      <c r="A26" s="1"/>
      <c r="B26" s="58" t="s">
        <v>224</v>
      </c>
      <c r="C26" s="93">
        <f>SUMIFS('freee実績'!$E:$E,'freee実績'!$B:$B,"2027-02",'freee実績'!$C:$C,"広告宣伝費")</f>
        <v>0</v>
      </c>
      <c r="D26" s="90" t="s">
        <v>218</v>
      </c>
      <c r="E26" s="152"/>
      <c r="F26" s="1"/>
      <c r="G26" s="58" t="s">
        <v>225</v>
      </c>
      <c r="H26" s="63">
        <v>28.0</v>
      </c>
      <c r="I26" s="78"/>
      <c r="J26" s="92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226</v>
      </c>
      <c r="V26" s="71">
        <f>'売上計画'!M62</f>
        <v>367160</v>
      </c>
      <c r="W26" s="71">
        <f>IF(W8=0,0,W25/W8)</f>
        <v>0</v>
      </c>
      <c r="X26" s="71">
        <f t="shared" si="10"/>
        <v>-367160</v>
      </c>
      <c r="Y26" s="1"/>
      <c r="Z26" s="1"/>
    </row>
    <row r="27" ht="15.0" customHeight="1">
      <c r="A27" s="1"/>
      <c r="B27" s="58" t="s">
        <v>227</v>
      </c>
      <c r="C27" s="93">
        <f>SUMIFS('freee実績'!$E:$E,'freee実績'!$B:$B,"2027-02",'freee実績'!$C:$C,"修繕費")</f>
        <v>0</v>
      </c>
      <c r="D27" s="90" t="s">
        <v>218</v>
      </c>
      <c r="E27" s="152"/>
      <c r="F27" s="1"/>
      <c r="G27" s="58" t="s">
        <v>228</v>
      </c>
      <c r="H27" s="65">
        <f>IF(H26=0,0,H20/H26)</f>
        <v>0</v>
      </c>
      <c r="I27" s="78"/>
      <c r="J27" s="94" t="s">
        <v>229</v>
      </c>
      <c r="K27" s="1"/>
      <c r="L27" s="85" t="s">
        <v>230</v>
      </c>
      <c r="M27" s="46"/>
      <c r="N27" s="46"/>
      <c r="O27" s="46"/>
      <c r="P27" s="46"/>
      <c r="Q27" s="46"/>
      <c r="R27" s="46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8" t="s">
        <v>231</v>
      </c>
      <c r="C28" s="93">
        <f>SUMIFS('freee実績'!$E:$E,'freee実績'!$B:$B,"2027-02",'freee実績'!$C:$C,"雑費")</f>
        <v>0</v>
      </c>
      <c r="D28" s="90" t="s">
        <v>218</v>
      </c>
      <c r="E28" s="152"/>
      <c r="F28" s="1"/>
      <c r="G28" s="58" t="s">
        <v>179</v>
      </c>
      <c r="H28" s="96">
        <f>IF(H20=0,0,C16/H20)</f>
        <v>0</v>
      </c>
      <c r="I28" s="78"/>
      <c r="J28" s="94" t="s">
        <v>232</v>
      </c>
      <c r="K28" s="1"/>
      <c r="L28" s="56" t="s">
        <v>212</v>
      </c>
      <c r="M28" s="56" t="s">
        <v>213</v>
      </c>
      <c r="N28" s="56"/>
      <c r="O28" s="56"/>
      <c r="P28" s="56"/>
      <c r="Q28" s="56"/>
      <c r="R28" s="56" t="s">
        <v>214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97" t="s">
        <v>233</v>
      </c>
      <c r="C29" s="98">
        <f>'固定資産台帳'!V26</f>
        <v>14433.83333</v>
      </c>
      <c r="D29" s="99" t="s">
        <v>234</v>
      </c>
      <c r="E29" s="152"/>
      <c r="F29" s="1"/>
      <c r="G29" s="1"/>
      <c r="H29" s="1"/>
      <c r="I29" s="1"/>
      <c r="J29" s="1"/>
      <c r="K29" s="1"/>
      <c r="L29" s="58" t="s">
        <v>235</v>
      </c>
      <c r="M29" s="96">
        <f>IF(H20=0,0,M23/H20)</f>
        <v>0</v>
      </c>
      <c r="N29" s="78"/>
      <c r="O29" s="78"/>
      <c r="P29" s="78"/>
      <c r="Q29" s="78"/>
      <c r="R29" s="94" t="s">
        <v>236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2" t="s">
        <v>237</v>
      </c>
      <c r="C30" s="73">
        <f>SUM(C20:C29)</f>
        <v>312176.9333</v>
      </c>
      <c r="D30" s="74"/>
      <c r="E30" s="74"/>
      <c r="F30" s="1"/>
      <c r="G30" s="1"/>
      <c r="H30" s="1"/>
      <c r="I30" s="1"/>
      <c r="J30" s="1"/>
      <c r="K30" s="1"/>
      <c r="L30" s="58" t="s">
        <v>238</v>
      </c>
      <c r="M30" s="65">
        <f>IF((SUM(N5:N12)*SUM(O5:O12))=0,0,H20/(SUM(N5:N12)*SUM(O5:O12)))</f>
        <v>0</v>
      </c>
      <c r="N30" s="78"/>
      <c r="O30" s="78"/>
      <c r="P30" s="78"/>
      <c r="Q30" s="78"/>
      <c r="R30" s="94" t="s">
        <v>239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77" t="s">
        <v>240</v>
      </c>
      <c r="C32" s="46"/>
      <c r="D32" s="46"/>
      <c r="E32" s="46"/>
      <c r="F32" s="100"/>
      <c r="G32" s="53" t="s">
        <v>241</v>
      </c>
      <c r="H32" s="46"/>
      <c r="I32" s="46"/>
      <c r="J32" s="46"/>
      <c r="K32" s="1"/>
      <c r="L32" s="101" t="s">
        <v>242</v>
      </c>
      <c r="M32" s="46"/>
      <c r="N32" s="46"/>
      <c r="O32" s="46"/>
      <c r="P32" s="46"/>
      <c r="Q32" s="46"/>
      <c r="R32" s="46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6" t="s">
        <v>146</v>
      </c>
      <c r="C33" s="56" t="s">
        <v>243</v>
      </c>
      <c r="D33" s="56" t="s">
        <v>160</v>
      </c>
      <c r="E33" s="102" t="s">
        <v>244</v>
      </c>
      <c r="F33" s="56" t="s">
        <v>148</v>
      </c>
      <c r="G33" s="56"/>
      <c r="H33" s="56" t="s">
        <v>3</v>
      </c>
      <c r="I33" s="56" t="s">
        <v>133</v>
      </c>
      <c r="J33" s="56"/>
      <c r="K33" s="1"/>
      <c r="L33" s="95" t="s">
        <v>245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58" t="s">
        <v>294</v>
      </c>
      <c r="C34" s="76"/>
      <c r="D34" s="59"/>
      <c r="E34" s="65">
        <f t="shared" ref="E34:E54" si="11">C34-D34</f>
        <v>0</v>
      </c>
      <c r="F34" s="109"/>
      <c r="G34" s="78"/>
      <c r="H34" s="106" t="s">
        <v>246</v>
      </c>
      <c r="I34" s="65">
        <f>H20</f>
        <v>0</v>
      </c>
      <c r="J34" s="78"/>
      <c r="K34" s="1"/>
      <c r="L34" s="107" t="s">
        <v>247</v>
      </c>
      <c r="M34" s="108" t="s">
        <v>248</v>
      </c>
      <c r="N34" s="95" t="s">
        <v>249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58" t="s">
        <v>295</v>
      </c>
      <c r="C35" s="76"/>
      <c r="D35" s="59"/>
      <c r="E35" s="65">
        <f t="shared" si="11"/>
        <v>0</v>
      </c>
      <c r="F35" s="109"/>
      <c r="G35" s="78"/>
      <c r="H35" s="106" t="s">
        <v>183</v>
      </c>
      <c r="I35" s="65">
        <f>C16</f>
        <v>0</v>
      </c>
      <c r="J35" s="78"/>
      <c r="K35" s="1"/>
      <c r="L35" s="58" t="s">
        <v>250</v>
      </c>
      <c r="M35" s="52">
        <f>M23</f>
        <v>0</v>
      </c>
      <c r="N35" s="110" t="s">
        <v>251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58" t="s">
        <v>296</v>
      </c>
      <c r="C36" s="76"/>
      <c r="D36" s="59"/>
      <c r="E36" s="65">
        <f t="shared" si="11"/>
        <v>0</v>
      </c>
      <c r="F36" s="109"/>
      <c r="G36" s="78"/>
      <c r="H36" s="106" t="s">
        <v>185</v>
      </c>
      <c r="I36" s="65">
        <f>I34-I35</f>
        <v>0</v>
      </c>
      <c r="J36" s="78"/>
      <c r="K36" s="1"/>
      <c r="L36" s="58" t="s">
        <v>252</v>
      </c>
      <c r="M36" s="65">
        <f>IF(M34="支払い",M35,0)</f>
        <v>0</v>
      </c>
      <c r="N36" s="95" t="s">
        <v>253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0"/>
      <c r="C37" s="76"/>
      <c r="D37" s="59"/>
      <c r="E37" s="65">
        <f t="shared" si="11"/>
        <v>0</v>
      </c>
      <c r="F37" s="109"/>
      <c r="G37" s="78"/>
      <c r="H37" s="106" t="s">
        <v>254</v>
      </c>
      <c r="I37" s="96">
        <f>IF(I34=0,0,I36/I34)</f>
        <v>0</v>
      </c>
      <c r="J37" s="78"/>
      <c r="K37" s="1"/>
      <c r="L37" s="111" t="s">
        <v>255</v>
      </c>
      <c r="M37" s="112">
        <f>M35-M36</f>
        <v>0</v>
      </c>
      <c r="N37" s="95" t="s">
        <v>256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3"/>
      <c r="C38" s="76"/>
      <c r="D38" s="59"/>
      <c r="E38" s="65">
        <f t="shared" si="11"/>
        <v>0</v>
      </c>
      <c r="F38" s="109"/>
      <c r="G38" s="78"/>
      <c r="H38" s="106" t="s">
        <v>208</v>
      </c>
      <c r="I38" s="65">
        <f>C30</f>
        <v>312176.9333</v>
      </c>
      <c r="J38" s="78"/>
      <c r="K38" s="1"/>
      <c r="L38" s="58" t="s">
        <v>257</v>
      </c>
      <c r="M38" s="52">
        <f>'1月'!M39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0"/>
      <c r="C39" s="76"/>
      <c r="D39" s="59"/>
      <c r="E39" s="65">
        <f t="shared" si="11"/>
        <v>0</v>
      </c>
      <c r="F39" s="109"/>
      <c r="G39" s="78"/>
      <c r="H39" s="113" t="s">
        <v>223</v>
      </c>
      <c r="I39" s="114">
        <f>I36-I38</f>
        <v>-312176.9333</v>
      </c>
      <c r="J39" s="115"/>
      <c r="K39" s="1"/>
      <c r="L39" s="116" t="s">
        <v>258</v>
      </c>
      <c r="M39" s="117">
        <f>M38+M37</f>
        <v>0</v>
      </c>
      <c r="N39" s="95" t="s">
        <v>259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3"/>
      <c r="C40" s="76"/>
      <c r="D40" s="59"/>
      <c r="E40" s="65">
        <f t="shared" si="11"/>
        <v>0</v>
      </c>
      <c r="F40" s="109"/>
      <c r="G40" s="118"/>
      <c r="H40" s="118"/>
      <c r="I40" s="118"/>
      <c r="J40" s="1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0"/>
      <c r="C41" s="76"/>
      <c r="D41" s="59"/>
      <c r="E41" s="65">
        <f t="shared" si="11"/>
        <v>0</v>
      </c>
      <c r="F41" s="109"/>
      <c r="G41" s="118"/>
      <c r="H41" s="118"/>
      <c r="I41" s="118"/>
      <c r="J41" s="118"/>
      <c r="K41" s="1"/>
      <c r="L41" s="58" t="s">
        <v>260</v>
      </c>
      <c r="M41" s="59"/>
      <c r="N41" s="95" t="s">
        <v>261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3"/>
      <c r="C42" s="76"/>
      <c r="D42" s="59"/>
      <c r="E42" s="65">
        <f t="shared" si="11"/>
        <v>0</v>
      </c>
      <c r="F42" s="109"/>
      <c r="G42" s="118"/>
      <c r="H42" s="118"/>
      <c r="I42" s="118"/>
      <c r="J42" s="1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0"/>
      <c r="C43" s="76"/>
      <c r="D43" s="59"/>
      <c r="E43" s="65">
        <f t="shared" si="11"/>
        <v>0</v>
      </c>
      <c r="F43" s="109"/>
      <c r="G43" s="118"/>
      <c r="H43" s="118"/>
      <c r="I43" s="118"/>
      <c r="J43" s="1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3"/>
      <c r="C44" s="76"/>
      <c r="D44" s="59"/>
      <c r="E44" s="65">
        <f t="shared" si="11"/>
        <v>0</v>
      </c>
      <c r="F44" s="109"/>
      <c r="G44" s="118"/>
      <c r="H44" s="118"/>
      <c r="I44" s="118"/>
      <c r="J44" s="1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0"/>
      <c r="C45" s="76"/>
      <c r="D45" s="59"/>
      <c r="E45" s="65">
        <f t="shared" si="11"/>
        <v>0</v>
      </c>
      <c r="F45" s="109"/>
      <c r="G45" s="118"/>
      <c r="H45" s="118"/>
      <c r="I45" s="118"/>
      <c r="J45" s="1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3"/>
      <c r="C46" s="76"/>
      <c r="D46" s="59"/>
      <c r="E46" s="65">
        <f t="shared" si="11"/>
        <v>0</v>
      </c>
      <c r="F46" s="109"/>
      <c r="G46" s="118"/>
      <c r="H46" s="118"/>
      <c r="I46" s="118"/>
      <c r="J46" s="1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0"/>
      <c r="C47" s="76"/>
      <c r="D47" s="59"/>
      <c r="E47" s="65">
        <f t="shared" si="11"/>
        <v>0</v>
      </c>
      <c r="F47" s="109"/>
      <c r="G47" s="118"/>
      <c r="H47" s="118"/>
      <c r="I47" s="118"/>
      <c r="J47" s="1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3"/>
      <c r="C48" s="76"/>
      <c r="D48" s="59"/>
      <c r="E48" s="65">
        <f t="shared" si="11"/>
        <v>0</v>
      </c>
      <c r="F48" s="109"/>
      <c r="G48" s="118"/>
      <c r="H48" s="118"/>
      <c r="I48" s="118"/>
      <c r="J48" s="1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0"/>
      <c r="C49" s="76"/>
      <c r="D49" s="59"/>
      <c r="E49" s="65">
        <f t="shared" si="11"/>
        <v>0</v>
      </c>
      <c r="F49" s="109"/>
      <c r="G49" s="118"/>
      <c r="H49" s="118"/>
      <c r="I49" s="118"/>
      <c r="J49" s="1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3"/>
      <c r="C50" s="76"/>
      <c r="D50" s="59"/>
      <c r="E50" s="65">
        <f t="shared" si="11"/>
        <v>0</v>
      </c>
      <c r="F50" s="109"/>
      <c r="G50" s="118"/>
      <c r="H50" s="118"/>
      <c r="I50" s="118"/>
      <c r="J50" s="1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0"/>
      <c r="C51" s="76"/>
      <c r="D51" s="59"/>
      <c r="E51" s="65">
        <f t="shared" si="11"/>
        <v>0</v>
      </c>
      <c r="F51" s="109"/>
      <c r="G51" s="118"/>
      <c r="H51" s="118"/>
      <c r="I51" s="118"/>
      <c r="J51" s="1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3"/>
      <c r="C52" s="76"/>
      <c r="D52" s="59"/>
      <c r="E52" s="65">
        <f t="shared" si="11"/>
        <v>0</v>
      </c>
      <c r="F52" s="109"/>
      <c r="G52" s="118"/>
      <c r="H52" s="118"/>
      <c r="I52" s="118"/>
      <c r="J52" s="1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0"/>
      <c r="C53" s="76"/>
      <c r="D53" s="59"/>
      <c r="E53" s="65">
        <f t="shared" si="11"/>
        <v>0</v>
      </c>
      <c r="F53" s="109"/>
      <c r="G53" s="118"/>
      <c r="H53" s="118"/>
      <c r="I53" s="118"/>
      <c r="J53" s="1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2" t="s">
        <v>262</v>
      </c>
      <c r="C54" s="73">
        <f t="shared" ref="C54:D54" si="12">SUM(C34:C53)</f>
        <v>0</v>
      </c>
      <c r="D54" s="73">
        <f t="shared" si="12"/>
        <v>0</v>
      </c>
      <c r="E54" s="73">
        <f t="shared" si="11"/>
        <v>0</v>
      </c>
      <c r="F54" s="74"/>
      <c r="G54" s="118"/>
      <c r="H54" s="119"/>
      <c r="I54" s="120"/>
      <c r="J54" s="1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18"/>
      <c r="H55" s="119"/>
      <c r="I55" s="121"/>
      <c r="J55" s="1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2" t="s">
        <v>263</v>
      </c>
      <c r="C56" s="123">
        <f>C16+C30+D54</f>
        <v>312176.9333</v>
      </c>
      <c r="D56" s="124"/>
      <c r="E56" s="124"/>
      <c r="F56" s="1"/>
      <c r="G56" s="118"/>
      <c r="H56" s="119"/>
      <c r="I56" s="121"/>
      <c r="J56" s="1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18"/>
      <c r="H57" s="118"/>
      <c r="I57" s="118"/>
      <c r="J57" s="1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5" t="s">
        <v>264</v>
      </c>
      <c r="H58" s="46"/>
      <c r="I58" s="46"/>
      <c r="J58" s="4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6"/>
      <c r="H59" s="56" t="s">
        <v>3</v>
      </c>
      <c r="I59" s="56" t="s">
        <v>133</v>
      </c>
      <c r="J59" s="5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6"/>
      <c r="H60" s="127" t="s">
        <v>223</v>
      </c>
      <c r="I60" s="128">
        <f>I39</f>
        <v>-312176.9333</v>
      </c>
      <c r="J60" s="12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6"/>
      <c r="H61" s="127" t="s">
        <v>265</v>
      </c>
      <c r="I61" s="130">
        <f>C29</f>
        <v>14433.83333</v>
      </c>
      <c r="J61" s="131" t="s">
        <v>266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2"/>
      <c r="H62" s="72" t="s">
        <v>267</v>
      </c>
      <c r="I62" s="73">
        <f>I60+I61+M37-M41</f>
        <v>-297743.1</v>
      </c>
      <c r="J62" s="133" t="s">
        <v>268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18"/>
      <c r="H63" s="118"/>
      <c r="I63" s="118"/>
      <c r="J63" s="1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6"/>
      <c r="H64" s="127" t="s">
        <v>269</v>
      </c>
      <c r="I64" s="130">
        <f>D54</f>
        <v>0</v>
      </c>
      <c r="J64" s="131" t="s">
        <v>270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2"/>
      <c r="H65" s="72" t="s">
        <v>271</v>
      </c>
      <c r="I65" s="73">
        <f>-I64</f>
        <v>0</v>
      </c>
      <c r="J65" s="133" t="s">
        <v>272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18"/>
      <c r="H66" s="118"/>
      <c r="I66" s="118"/>
      <c r="J66" s="1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6"/>
      <c r="H67" s="127" t="s">
        <v>273</v>
      </c>
      <c r="I67" s="130" t="str">
        <f>C6</f>
        <v/>
      </c>
      <c r="J67" s="12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2"/>
      <c r="H68" s="72" t="s">
        <v>274</v>
      </c>
      <c r="I68" s="73" t="str">
        <f>I67</f>
        <v/>
      </c>
      <c r="J68" s="1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18"/>
      <c r="H69" s="118"/>
      <c r="I69" s="118"/>
      <c r="J69" s="1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3" t="s">
        <v>275</v>
      </c>
      <c r="H70" s="46"/>
      <c r="I70" s="46"/>
      <c r="J70" s="4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4"/>
      <c r="H71" s="58" t="s">
        <v>276</v>
      </c>
      <c r="I71" s="89">
        <f>C5</f>
        <v>538130.8</v>
      </c>
      <c r="J71" s="13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4"/>
      <c r="H72" s="58" t="s">
        <v>277</v>
      </c>
      <c r="I72" s="104">
        <f>I62</f>
        <v>-297743.1</v>
      </c>
      <c r="J72" s="13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4"/>
      <c r="H73" s="58" t="s">
        <v>278</v>
      </c>
      <c r="I73" s="104">
        <f>I65</f>
        <v>0</v>
      </c>
      <c r="J73" s="1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4"/>
      <c r="H74" s="58" t="s">
        <v>279</v>
      </c>
      <c r="I74" s="104" t="str">
        <f>I68</f>
        <v/>
      </c>
      <c r="J74" s="1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6"/>
      <c r="H75" s="137" t="s">
        <v>280</v>
      </c>
      <c r="I75" s="138">
        <f>I71+I72+I73+I74</f>
        <v>240387.7</v>
      </c>
      <c r="J75" s="139" t="s">
        <v>281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18"/>
      <c r="H76" s="118"/>
      <c r="I76" s="118"/>
      <c r="J76" s="1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18"/>
      <c r="H77" s="95" t="s">
        <v>282</v>
      </c>
      <c r="I77" s="118"/>
      <c r="J77" s="1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4"/>
      <c r="H78" s="140" t="s">
        <v>283</v>
      </c>
      <c r="I78" s="141">
        <f>I39</f>
        <v>-312176.9333</v>
      </c>
      <c r="J78" s="1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4"/>
      <c r="H79" s="140" t="s">
        <v>284</v>
      </c>
      <c r="I79" s="141">
        <f>I72+I73+I74</f>
        <v>-297743.1</v>
      </c>
      <c r="J79" s="1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2"/>
      <c r="H80" s="143" t="s">
        <v>285</v>
      </c>
      <c r="I80" s="144">
        <f>I79-I78</f>
        <v>14433.83333</v>
      </c>
      <c r="J80" s="143" t="s">
        <v>286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18"/>
      <c r="H81" s="118"/>
      <c r="I81" s="118"/>
      <c r="J81" s="1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6"/>
      <c r="H82" s="145" t="s">
        <v>287</v>
      </c>
      <c r="I82" s="146">
        <f>I75</f>
        <v>240387.7</v>
      </c>
      <c r="J82" s="147" t="s">
        <v>288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48"/>
      <c r="H83" s="149" t="s">
        <v>289</v>
      </c>
      <c r="I83" s="150">
        <f>I75-M37</f>
        <v>240387.7</v>
      </c>
      <c r="J83" s="151" t="s">
        <v>290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18"/>
      <c r="H84" s="118"/>
      <c r="I84" s="118"/>
      <c r="J84" s="1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4" t="s">
        <v>339</v>
      </c>
      <c r="K1" s="1"/>
      <c r="L1" s="1"/>
      <c r="M1" s="1"/>
      <c r="N1" s="1"/>
      <c r="O1" s="1"/>
      <c r="P1" s="1"/>
      <c r="Q1" s="1"/>
      <c r="R1" s="1"/>
      <c r="S1" s="1"/>
      <c r="T1" s="1"/>
      <c r="U1" s="45" t="s">
        <v>137</v>
      </c>
      <c r="V1" s="46"/>
      <c r="W1" s="46"/>
      <c r="X1" s="46"/>
      <c r="Y1" s="46"/>
      <c r="Z1" s="1"/>
    </row>
    <row r="2" ht="21.0" customHeight="1">
      <c r="A2" s="1"/>
      <c r="B2" s="47" t="s">
        <v>138</v>
      </c>
      <c r="C2" s="48">
        <f>I75</f>
        <v>-57355.4</v>
      </c>
      <c r="D2" s="1"/>
      <c r="E2" s="49" t="s">
        <v>139</v>
      </c>
      <c r="F2" s="50">
        <f>C16+SUM(C20:C23)+SUM(C25:C28)+M36+D54+M41</f>
        <v>0</v>
      </c>
      <c r="G2" s="1"/>
      <c r="H2" s="49" t="s">
        <v>140</v>
      </c>
      <c r="I2" s="51">
        <f>I39</f>
        <v>-312176.9333</v>
      </c>
      <c r="J2" s="1"/>
      <c r="K2" s="1"/>
      <c r="L2" s="47" t="s">
        <v>141</v>
      </c>
      <c r="M2" s="173">
        <v>0.0</v>
      </c>
      <c r="N2" s="1"/>
      <c r="O2" s="1"/>
      <c r="P2" s="1"/>
      <c r="Q2" s="1"/>
      <c r="R2" s="1"/>
      <c r="S2" s="1"/>
      <c r="T2" s="1"/>
      <c r="U2" s="3" t="s">
        <v>142</v>
      </c>
      <c r="Z2" s="1"/>
    </row>
    <row r="3" ht="15.0" customHeight="1">
      <c r="A3" s="1"/>
      <c r="B3" s="53" t="s">
        <v>143</v>
      </c>
      <c r="C3" s="46"/>
      <c r="D3" s="46"/>
      <c r="E3" s="46"/>
      <c r="F3" s="1"/>
      <c r="G3" s="54" t="s">
        <v>144</v>
      </c>
      <c r="H3" s="46"/>
      <c r="I3" s="46"/>
      <c r="J3" s="46"/>
      <c r="K3" s="1"/>
      <c r="L3" s="55" t="s">
        <v>145</v>
      </c>
      <c r="M3" s="46"/>
      <c r="N3" s="46"/>
      <c r="O3" s="46"/>
      <c r="P3" s="46"/>
      <c r="Q3" s="46"/>
      <c r="R3" s="46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6" t="s">
        <v>146</v>
      </c>
      <c r="C4" s="56" t="s">
        <v>133</v>
      </c>
      <c r="D4" s="56" t="s">
        <v>147</v>
      </c>
      <c r="E4" s="56" t="s">
        <v>148</v>
      </c>
      <c r="F4" s="1"/>
      <c r="G4" s="56" t="s">
        <v>70</v>
      </c>
      <c r="H4" s="56" t="s">
        <v>133</v>
      </c>
      <c r="I4" s="56" t="s">
        <v>147</v>
      </c>
      <c r="J4" s="56" t="s">
        <v>148</v>
      </c>
      <c r="K4" s="1"/>
      <c r="L4" s="56" t="s">
        <v>149</v>
      </c>
      <c r="M4" s="56" t="s">
        <v>150</v>
      </c>
      <c r="N4" s="56" t="s">
        <v>151</v>
      </c>
      <c r="O4" s="56" t="s">
        <v>152</v>
      </c>
      <c r="P4" s="56" t="s">
        <v>153</v>
      </c>
      <c r="Q4" s="56" t="s">
        <v>154</v>
      </c>
      <c r="R4" s="56" t="s">
        <v>155</v>
      </c>
      <c r="S4" s="1"/>
      <c r="T4" s="1"/>
      <c r="U4" s="57" t="s">
        <v>156</v>
      </c>
      <c r="V4" s="46"/>
      <c r="W4" s="46"/>
      <c r="X4" s="46"/>
      <c r="Y4" s="46"/>
      <c r="Z4" s="1"/>
    </row>
    <row r="5" ht="15.0" customHeight="1">
      <c r="A5" s="1"/>
      <c r="B5" s="58" t="s">
        <v>292</v>
      </c>
      <c r="C5" s="52">
        <f>'2月'!I75</f>
        <v>240387.7</v>
      </c>
      <c r="D5" s="60"/>
      <c r="E5" s="152"/>
      <c r="F5" s="1"/>
      <c r="G5" s="58" t="s">
        <v>158</v>
      </c>
      <c r="H5" s="52">
        <f>'3月日次売上'!C35</f>
        <v>0</v>
      </c>
      <c r="I5" s="60"/>
      <c r="J5" s="152"/>
      <c r="K5" s="1"/>
      <c r="L5" s="60"/>
      <c r="M5" s="59"/>
      <c r="N5" s="63"/>
      <c r="O5" s="64"/>
      <c r="P5" s="59"/>
      <c r="Q5" s="65">
        <f t="shared" ref="Q5:Q12" si="1">M5*N5*O5</f>
        <v>0</v>
      </c>
      <c r="R5" s="65">
        <f t="shared" ref="R5:R12" si="2">P5*N5</f>
        <v>0</v>
      </c>
      <c r="S5" s="1"/>
      <c r="T5" s="1"/>
      <c r="U5" s="66" t="s">
        <v>3</v>
      </c>
      <c r="V5" s="67" t="s">
        <v>159</v>
      </c>
      <c r="W5" s="67" t="s">
        <v>160</v>
      </c>
      <c r="X5" s="67" t="s">
        <v>161</v>
      </c>
      <c r="Y5" s="66" t="s">
        <v>162</v>
      </c>
      <c r="Z5" s="1"/>
    </row>
    <row r="6" ht="15.0" customHeight="1">
      <c r="A6" s="1"/>
      <c r="B6" s="58" t="s">
        <v>163</v>
      </c>
      <c r="C6" s="59"/>
      <c r="D6" s="60"/>
      <c r="E6" s="152"/>
      <c r="F6" s="1"/>
      <c r="G6" s="58" t="s">
        <v>164</v>
      </c>
      <c r="H6" s="52">
        <f>'3月日次売上'!D35</f>
        <v>0</v>
      </c>
      <c r="I6" s="60"/>
      <c r="J6" s="152"/>
      <c r="K6" s="1"/>
      <c r="L6" s="60"/>
      <c r="M6" s="59"/>
      <c r="N6" s="63"/>
      <c r="O6" s="64"/>
      <c r="P6" s="59"/>
      <c r="Q6" s="65">
        <f t="shared" si="1"/>
        <v>0</v>
      </c>
      <c r="R6" s="65">
        <f t="shared" si="2"/>
        <v>0</v>
      </c>
      <c r="S6" s="1"/>
      <c r="T6" s="1"/>
      <c r="U6" s="6" t="s">
        <v>165</v>
      </c>
      <c r="V6" s="69">
        <f>'売上計画'!N38</f>
        <v>25</v>
      </c>
      <c r="W6" s="70">
        <f>IF(H26=0,"",H24/H26/2)</f>
        <v>0</v>
      </c>
      <c r="X6" s="69">
        <f t="shared" ref="X6:X7" si="3">IF(W6="",0,W6-V6)</f>
        <v>-25</v>
      </c>
      <c r="Y6" s="71">
        <f t="shared" ref="Y6:Y7" si="4">IF(OR(W6="",V6=0),0,W6/V6)</f>
        <v>0</v>
      </c>
      <c r="Z6" s="1"/>
    </row>
    <row r="7" ht="15.0" customHeight="1">
      <c r="A7" s="1"/>
      <c r="B7" s="72" t="s">
        <v>166</v>
      </c>
      <c r="C7" s="73">
        <f>SUM(C5:C6)</f>
        <v>240387.7</v>
      </c>
      <c r="D7" s="74"/>
      <c r="E7" s="74"/>
      <c r="F7" s="1"/>
      <c r="G7" s="58" t="s">
        <v>167</v>
      </c>
      <c r="H7" s="52">
        <f>'3月日次売上'!E35</f>
        <v>0</v>
      </c>
      <c r="I7" s="60"/>
      <c r="J7" s="152"/>
      <c r="K7" s="1"/>
      <c r="L7" s="60"/>
      <c r="M7" s="59"/>
      <c r="N7" s="63"/>
      <c r="O7" s="64"/>
      <c r="P7" s="59"/>
      <c r="Q7" s="65">
        <f t="shared" si="1"/>
        <v>0</v>
      </c>
      <c r="R7" s="65">
        <f t="shared" si="2"/>
        <v>0</v>
      </c>
      <c r="S7" s="1"/>
      <c r="T7" s="1"/>
      <c r="U7" s="6" t="s">
        <v>168</v>
      </c>
      <c r="V7" s="69">
        <f>'売上計画'!N39</f>
        <v>24</v>
      </c>
      <c r="W7" s="70">
        <f>IF(H26=0,"",H24/H26/2)</f>
        <v>0</v>
      </c>
      <c r="X7" s="69">
        <f t="shared" si="3"/>
        <v>-24</v>
      </c>
      <c r="Y7" s="71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58" t="s">
        <v>169</v>
      </c>
      <c r="H8" s="52">
        <f>'3月日次売上'!F35</f>
        <v>0</v>
      </c>
      <c r="I8" s="60"/>
      <c r="J8" s="152"/>
      <c r="K8" s="1"/>
      <c r="L8" s="60"/>
      <c r="M8" s="59"/>
      <c r="N8" s="63"/>
      <c r="O8" s="64"/>
      <c r="P8" s="59"/>
      <c r="Q8" s="65">
        <f t="shared" si="1"/>
        <v>0</v>
      </c>
      <c r="R8" s="65">
        <f t="shared" si="2"/>
        <v>0</v>
      </c>
      <c r="S8" s="1"/>
      <c r="T8" s="1"/>
      <c r="U8" s="6" t="s">
        <v>170</v>
      </c>
      <c r="V8" s="69">
        <f>'売上計画'!N45</f>
        <v>1997950</v>
      </c>
      <c r="W8" s="69">
        <f>H20</f>
        <v>0</v>
      </c>
      <c r="X8" s="69">
        <f t="shared" ref="X8:X9" si="5">W8-V8</f>
        <v>-1997950</v>
      </c>
      <c r="Y8" s="71">
        <f t="shared" ref="Y8:Y9" si="6">IF(V8=0,0,W8/V8)</f>
        <v>0</v>
      </c>
      <c r="Z8" s="1"/>
    </row>
    <row r="9" ht="15.0" customHeight="1">
      <c r="A9" s="1"/>
      <c r="B9" s="75" t="s">
        <v>171</v>
      </c>
      <c r="C9" s="46"/>
      <c r="D9" s="46"/>
      <c r="E9" s="46"/>
      <c r="F9" s="1"/>
      <c r="G9" s="58" t="s">
        <v>172</v>
      </c>
      <c r="H9" s="52">
        <f>'3月日次売上'!G35</f>
        <v>0</v>
      </c>
      <c r="I9" s="60"/>
      <c r="J9" s="152"/>
      <c r="K9" s="1"/>
      <c r="L9" s="60"/>
      <c r="M9" s="59"/>
      <c r="N9" s="63"/>
      <c r="O9" s="64"/>
      <c r="P9" s="59"/>
      <c r="Q9" s="65">
        <f t="shared" si="1"/>
        <v>0</v>
      </c>
      <c r="R9" s="65">
        <f t="shared" si="2"/>
        <v>0</v>
      </c>
      <c r="S9" s="1"/>
      <c r="T9" s="1"/>
      <c r="U9" s="6" t="s">
        <v>173</v>
      </c>
      <c r="V9" s="69">
        <f>IF((V6*'売上計画'!$C$7+V7*'売上計画'!$C$8)=0,0,V8/(V6*'売上計画'!$C$7+V7*'売上計画'!$C$8))</f>
        <v>1359.14966</v>
      </c>
      <c r="W9" s="69">
        <f>H25</f>
        <v>0</v>
      </c>
      <c r="X9" s="69">
        <f t="shared" si="5"/>
        <v>-1359.14966</v>
      </c>
      <c r="Y9" s="71">
        <f t="shared" si="6"/>
        <v>0</v>
      </c>
      <c r="Z9" s="1"/>
    </row>
    <row r="10" ht="15.0" customHeight="1">
      <c r="A10" s="1"/>
      <c r="B10" s="56" t="s">
        <v>146</v>
      </c>
      <c r="C10" s="56" t="s">
        <v>133</v>
      </c>
      <c r="D10" s="56" t="s">
        <v>147</v>
      </c>
      <c r="E10" s="56" t="s">
        <v>148</v>
      </c>
      <c r="F10" s="1"/>
      <c r="G10" s="58" t="s">
        <v>174</v>
      </c>
      <c r="H10" s="52">
        <f>'3月日次売上'!H35</f>
        <v>0</v>
      </c>
      <c r="I10" s="60"/>
      <c r="J10" s="152"/>
      <c r="K10" s="1"/>
      <c r="L10" s="60"/>
      <c r="M10" s="59"/>
      <c r="N10" s="63"/>
      <c r="O10" s="64"/>
      <c r="P10" s="59"/>
      <c r="Q10" s="65">
        <f t="shared" si="1"/>
        <v>0</v>
      </c>
      <c r="R10" s="65">
        <f t="shared" si="2"/>
        <v>0</v>
      </c>
      <c r="S10" s="1"/>
      <c r="T10" s="1"/>
      <c r="U10" s="1"/>
      <c r="V10" s="70"/>
      <c r="W10" s="70"/>
      <c r="X10" s="70"/>
      <c r="Y10" s="1"/>
      <c r="Z10" s="1"/>
    </row>
    <row r="11" ht="15.0" customHeight="1">
      <c r="A11" s="1"/>
      <c r="B11" s="58" t="s">
        <v>175</v>
      </c>
      <c r="C11" s="76">
        <f>SUMIFS('freee実績'!$E:$E,'freee実績'!$B:$B,"2027-03",'freee実績'!$C:$C,"仕入高",'freee実績'!$D:$D,"コーヒー豆・茶葉")</f>
        <v>0</v>
      </c>
      <c r="D11" s="60"/>
      <c r="E11" s="152"/>
      <c r="F11" s="1"/>
      <c r="G11" s="72" t="s">
        <v>176</v>
      </c>
      <c r="H11" s="73">
        <f>SUM(H5:H10)</f>
        <v>0</v>
      </c>
      <c r="I11" s="74"/>
      <c r="J11" s="74"/>
      <c r="K11" s="1"/>
      <c r="L11" s="60"/>
      <c r="M11" s="59"/>
      <c r="N11" s="63"/>
      <c r="O11" s="64"/>
      <c r="P11" s="59"/>
      <c r="Q11" s="65">
        <f t="shared" si="1"/>
        <v>0</v>
      </c>
      <c r="R11" s="65">
        <f t="shared" si="2"/>
        <v>0</v>
      </c>
      <c r="S11" s="1"/>
      <c r="T11" s="1"/>
      <c r="U11" s="57" t="s">
        <v>177</v>
      </c>
      <c r="V11" s="46"/>
      <c r="W11" s="46"/>
      <c r="X11" s="46"/>
      <c r="Y11" s="46"/>
      <c r="Z11" s="1"/>
    </row>
    <row r="12" ht="15.0" customHeight="1">
      <c r="A12" s="1"/>
      <c r="B12" s="58" t="s">
        <v>178</v>
      </c>
      <c r="C12" s="76">
        <f>SUMIFS('freee実績'!$E:$E,'freee実績'!$B:$B,"2027-03",'freee実績'!$C:$C,"仕入高",'freee実績'!$D:$D,"牛乳・シロップ等")</f>
        <v>0</v>
      </c>
      <c r="D12" s="60"/>
      <c r="E12" s="152"/>
      <c r="F12" s="1"/>
      <c r="G12" s="1"/>
      <c r="H12" s="1"/>
      <c r="I12" s="1"/>
      <c r="J12" s="1"/>
      <c r="K12" s="1"/>
      <c r="L12" s="60"/>
      <c r="M12" s="59"/>
      <c r="N12" s="63"/>
      <c r="O12" s="64"/>
      <c r="P12" s="59"/>
      <c r="Q12" s="65">
        <f t="shared" si="1"/>
        <v>0</v>
      </c>
      <c r="R12" s="65">
        <f t="shared" si="2"/>
        <v>0</v>
      </c>
      <c r="S12" s="1"/>
      <c r="T12" s="1"/>
      <c r="U12" s="66" t="s">
        <v>3</v>
      </c>
      <c r="V12" s="67" t="s">
        <v>159</v>
      </c>
      <c r="W12" s="67" t="s">
        <v>160</v>
      </c>
      <c r="X12" s="67" t="s">
        <v>161</v>
      </c>
      <c r="Y12" s="66" t="s">
        <v>179</v>
      </c>
      <c r="Z12" s="1"/>
    </row>
    <row r="13" ht="15.0" customHeight="1">
      <c r="A13" s="1"/>
      <c r="B13" s="58" t="s">
        <v>180</v>
      </c>
      <c r="C13" s="76">
        <f>SUMIFS('freee実績'!$E:$E,'freee実績'!$B:$B,"2027-03",'freee実績'!$C:$C,"仕入高",'freee実績'!$D:$D,"フード材料費")</f>
        <v>0</v>
      </c>
      <c r="D13" s="60"/>
      <c r="E13" s="152"/>
      <c r="F13" s="1"/>
      <c r="G13" s="54" t="s">
        <v>181</v>
      </c>
      <c r="H13" s="46"/>
      <c r="I13" s="46"/>
      <c r="J13" s="46"/>
      <c r="K13" s="1"/>
      <c r="L13" s="72" t="s">
        <v>182</v>
      </c>
      <c r="M13" s="74"/>
      <c r="N13" s="74"/>
      <c r="O13" s="74"/>
      <c r="P13" s="74"/>
      <c r="Q13" s="73">
        <f t="shared" ref="Q13:R13" si="7">SUM(Q5:Q12)</f>
        <v>0</v>
      </c>
      <c r="R13" s="73">
        <f t="shared" si="7"/>
        <v>0</v>
      </c>
      <c r="S13" s="1"/>
      <c r="T13" s="1"/>
      <c r="U13" s="6" t="s">
        <v>183</v>
      </c>
      <c r="V13" s="69">
        <f>'売上計画'!N46</f>
        <v>599385</v>
      </c>
      <c r="W13" s="69">
        <f>C16</f>
        <v>0</v>
      </c>
      <c r="X13" s="69">
        <f t="shared" ref="X13:X14" si="8">W13-V13</f>
        <v>-599385</v>
      </c>
      <c r="Y13" s="71">
        <f>IF(W8=0,0,W13/W8)</f>
        <v>0</v>
      </c>
      <c r="Z13" s="1"/>
    </row>
    <row r="14" ht="15.0" customHeight="1">
      <c r="A14" s="1"/>
      <c r="B14" s="58" t="s">
        <v>184</v>
      </c>
      <c r="C14" s="76">
        <f>SUMIFS('freee実績'!$E:$E,'freee実績'!$B:$B,"2027-03",'freee実績'!$C:$C,"仕入高",'freee実績'!$D:$D,"包装資材・消耗品")</f>
        <v>0</v>
      </c>
      <c r="D14" s="60"/>
      <c r="E14" s="152"/>
      <c r="F14" s="1"/>
      <c r="G14" s="56" t="s">
        <v>70</v>
      </c>
      <c r="H14" s="56" t="s">
        <v>133</v>
      </c>
      <c r="I14" s="56" t="s">
        <v>147</v>
      </c>
      <c r="J14" s="56" t="s">
        <v>148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185</v>
      </c>
      <c r="V14" s="69">
        <f>'売上計画'!N47</f>
        <v>1398565</v>
      </c>
      <c r="W14" s="69">
        <f>H20-C16</f>
        <v>0</v>
      </c>
      <c r="X14" s="69">
        <f t="shared" si="8"/>
        <v>-1398565</v>
      </c>
      <c r="Y14" s="71">
        <f>IF(W8=0,0,W14/W8)</f>
        <v>0</v>
      </c>
      <c r="Z14" s="1"/>
    </row>
    <row r="15" ht="15.0" customHeight="1">
      <c r="A15" s="1"/>
      <c r="B15" s="58" t="s">
        <v>186</v>
      </c>
      <c r="C15" s="76">
        <f>SUMIFS('freee実績'!$E:$E,'freee実績'!$B:$B,"2027-03",'freee実績'!$C:$C,"仕入高",'freee実績'!$D:$D,"その他原価")</f>
        <v>0</v>
      </c>
      <c r="D15" s="60"/>
      <c r="E15" s="152"/>
      <c r="F15" s="1"/>
      <c r="G15" s="58" t="s">
        <v>187</v>
      </c>
      <c r="H15" s="52">
        <f>'3月日次売上'!I35</f>
        <v>0</v>
      </c>
      <c r="I15" s="60"/>
      <c r="J15" s="152"/>
      <c r="K15" s="1"/>
      <c r="L15" s="77" t="s">
        <v>188</v>
      </c>
      <c r="M15" s="46"/>
      <c r="N15" s="46"/>
      <c r="O15" s="46"/>
      <c r="P15" s="46"/>
      <c r="Q15" s="46"/>
      <c r="R15" s="46"/>
      <c r="S15" s="1"/>
      <c r="T15" s="1"/>
      <c r="U15" s="1"/>
      <c r="V15" s="70"/>
      <c r="W15" s="70"/>
      <c r="X15" s="70"/>
      <c r="Y15" s="1"/>
      <c r="Z15" s="1"/>
    </row>
    <row r="16" ht="15.0" customHeight="1">
      <c r="A16" s="1"/>
      <c r="B16" s="72" t="s">
        <v>189</v>
      </c>
      <c r="C16" s="73">
        <f>SUM(C11:C15)</f>
        <v>0</v>
      </c>
      <c r="D16" s="74"/>
      <c r="E16" s="74"/>
      <c r="F16" s="1"/>
      <c r="G16" s="58" t="s">
        <v>190</v>
      </c>
      <c r="H16" s="76"/>
      <c r="I16" s="60"/>
      <c r="J16" s="152"/>
      <c r="K16" s="1"/>
      <c r="L16" s="56" t="s">
        <v>3</v>
      </c>
      <c r="M16" s="56" t="s">
        <v>191</v>
      </c>
      <c r="N16" s="56"/>
      <c r="O16" s="56"/>
      <c r="P16" s="56"/>
      <c r="Q16" s="56"/>
      <c r="R16" s="56" t="s">
        <v>5</v>
      </c>
      <c r="S16" s="1"/>
      <c r="T16" s="1"/>
      <c r="U16" s="57" t="s">
        <v>192</v>
      </c>
      <c r="V16" s="46"/>
      <c r="W16" s="46"/>
      <c r="X16" s="46"/>
      <c r="Y16" s="46"/>
      <c r="Z16" s="1"/>
    </row>
    <row r="17" ht="15.0" customHeight="1">
      <c r="A17" s="1"/>
      <c r="B17" s="1"/>
      <c r="C17" s="1"/>
      <c r="D17" s="1"/>
      <c r="E17" s="1"/>
      <c r="F17" s="1"/>
      <c r="G17" s="58" t="s">
        <v>193</v>
      </c>
      <c r="H17" s="76"/>
      <c r="I17" s="60"/>
      <c r="J17" s="152"/>
      <c r="K17" s="1"/>
      <c r="L17" s="58" t="s">
        <v>194</v>
      </c>
      <c r="M17" s="59"/>
      <c r="N17" s="78"/>
      <c r="O17" s="78"/>
      <c r="P17" s="78"/>
      <c r="Q17" s="78"/>
      <c r="R17" s="152"/>
      <c r="S17" s="1"/>
      <c r="T17" s="1"/>
      <c r="U17" s="66" t="s">
        <v>3</v>
      </c>
      <c r="V17" s="67" t="s">
        <v>159</v>
      </c>
      <c r="W17" s="67" t="s">
        <v>160</v>
      </c>
      <c r="X17" s="67" t="s">
        <v>161</v>
      </c>
      <c r="Y17" s="1"/>
      <c r="Z17" s="1"/>
    </row>
    <row r="18" ht="15.0" customHeight="1">
      <c r="A18" s="1"/>
      <c r="B18" s="77" t="s">
        <v>195</v>
      </c>
      <c r="C18" s="46"/>
      <c r="D18" s="46"/>
      <c r="E18" s="46"/>
      <c r="F18" s="1"/>
      <c r="G18" s="72" t="s">
        <v>196</v>
      </c>
      <c r="H18" s="73">
        <f>SUM(H15:H17)</f>
        <v>0</v>
      </c>
      <c r="I18" s="74"/>
      <c r="J18" s="74"/>
      <c r="K18" s="1"/>
      <c r="L18" s="58" t="s">
        <v>197</v>
      </c>
      <c r="M18" s="59"/>
      <c r="N18" s="78"/>
      <c r="O18" s="78"/>
      <c r="P18" s="78"/>
      <c r="Q18" s="78"/>
      <c r="R18" s="152"/>
      <c r="S18" s="1"/>
      <c r="T18" s="1"/>
      <c r="U18" s="6" t="s">
        <v>198</v>
      </c>
      <c r="V18" s="69">
        <f>'売上計画'!N54</f>
        <v>46.5</v>
      </c>
      <c r="W18" s="69">
        <f>C24</f>
        <v>297743.1</v>
      </c>
      <c r="X18" s="69">
        <f t="shared" ref="X18:X21" si="9">W18-V18</f>
        <v>297696.6</v>
      </c>
      <c r="Y18" s="1"/>
      <c r="Z18" s="1"/>
    </row>
    <row r="19" ht="15.0" customHeight="1">
      <c r="A19" s="1"/>
      <c r="B19" s="56" t="s">
        <v>146</v>
      </c>
      <c r="C19" s="56" t="s">
        <v>133</v>
      </c>
      <c r="D19" s="56" t="s">
        <v>147</v>
      </c>
      <c r="E19" s="56" t="s">
        <v>148</v>
      </c>
      <c r="F19" s="1"/>
      <c r="G19" s="1"/>
      <c r="H19" s="1"/>
      <c r="I19" s="1"/>
      <c r="J19" s="1"/>
      <c r="K19" s="1"/>
      <c r="L19" s="58" t="s">
        <v>199</v>
      </c>
      <c r="M19" s="59"/>
      <c r="N19" s="78"/>
      <c r="O19" s="78"/>
      <c r="P19" s="78"/>
      <c r="Q19" s="78"/>
      <c r="R19" s="152"/>
      <c r="S19" s="1"/>
      <c r="T19" s="1"/>
      <c r="U19" s="6" t="s">
        <v>200</v>
      </c>
      <c r="V19" s="69">
        <f>'売上計画'!N57</f>
        <v>583.5</v>
      </c>
      <c r="W19" s="69">
        <f>C20+C21+C22+C23</f>
        <v>0</v>
      </c>
      <c r="X19" s="69">
        <f t="shared" si="9"/>
        <v>-583.5</v>
      </c>
      <c r="Y19" s="1"/>
      <c r="Z19" s="1"/>
    </row>
    <row r="20" ht="15.0" customHeight="1">
      <c r="A20" s="1"/>
      <c r="B20" s="79" t="s">
        <v>201</v>
      </c>
      <c r="C20" s="80">
        <f>SUMIFS('freee実績'!$E:$E,'freee実績'!$B:$B,"2027-03",'freee実績'!$C:$C,"地代家賃")</f>
        <v>0</v>
      </c>
      <c r="D20" s="81" t="s">
        <v>202</v>
      </c>
      <c r="E20" s="152"/>
      <c r="F20" s="1"/>
      <c r="G20" s="82" t="s">
        <v>203</v>
      </c>
      <c r="H20" s="83">
        <f>H11+H18</f>
        <v>0</v>
      </c>
      <c r="I20" s="84"/>
      <c r="J20" s="84"/>
      <c r="K20" s="1"/>
      <c r="L20" s="58" t="s">
        <v>204</v>
      </c>
      <c r="M20" s="59"/>
      <c r="N20" s="78"/>
      <c r="O20" s="78"/>
      <c r="P20" s="78"/>
      <c r="Q20" s="78"/>
      <c r="R20" s="152"/>
      <c r="S20" s="1"/>
      <c r="T20" s="1"/>
      <c r="U20" s="6" t="s">
        <v>205</v>
      </c>
      <c r="V20" s="69">
        <f>'売上計画'!N58</f>
        <v>0</v>
      </c>
      <c r="W20" s="69">
        <f>C25</f>
        <v>0</v>
      </c>
      <c r="X20" s="69">
        <f t="shared" si="9"/>
        <v>0</v>
      </c>
      <c r="Y20" s="1"/>
      <c r="Z20" s="1"/>
    </row>
    <row r="21" ht="15.0" customHeight="1">
      <c r="A21" s="1"/>
      <c r="B21" s="79" t="s">
        <v>206</v>
      </c>
      <c r="C21" s="80">
        <f>SUMIFS('freee実績'!$E:$E,'freee実績'!$B:$B,"2027-03",'freee実績'!$C:$C,"水道光熱費")</f>
        <v>0</v>
      </c>
      <c r="D21" s="81" t="s">
        <v>202</v>
      </c>
      <c r="E21" s="152"/>
      <c r="F21" s="1"/>
      <c r="G21" s="1"/>
      <c r="H21" s="1"/>
      <c r="I21" s="1"/>
      <c r="J21" s="1"/>
      <c r="K21" s="1"/>
      <c r="L21" s="72" t="s">
        <v>207</v>
      </c>
      <c r="M21" s="73">
        <f>SUM(M17:M20)</f>
        <v>0</v>
      </c>
      <c r="N21" s="74"/>
      <c r="O21" s="74"/>
      <c r="P21" s="74"/>
      <c r="Q21" s="74"/>
      <c r="R21" s="74"/>
      <c r="S21" s="1"/>
      <c r="T21" s="1"/>
      <c r="U21" s="6" t="s">
        <v>208</v>
      </c>
      <c r="V21" s="69">
        <f>'売上計画'!N59</f>
        <v>0</v>
      </c>
      <c r="W21" s="69">
        <f>C30</f>
        <v>312176.9333</v>
      </c>
      <c r="X21" s="69">
        <f t="shared" si="9"/>
        <v>312176.9333</v>
      </c>
      <c r="Y21" s="1"/>
      <c r="Z21" s="1"/>
    </row>
    <row r="22" ht="16.5" customHeight="1">
      <c r="A22" s="1"/>
      <c r="B22" s="79" t="s">
        <v>209</v>
      </c>
      <c r="C22" s="80">
        <f>SUMIFS('freee実績'!$E:$E,'freee実績'!$B:$B,"2027-03",'freee実績'!$C:$C,"通信費")</f>
        <v>0</v>
      </c>
      <c r="D22" s="81" t="s">
        <v>202</v>
      </c>
      <c r="E22" s="152"/>
      <c r="F22" s="1"/>
      <c r="G22" s="85" t="s">
        <v>210</v>
      </c>
      <c r="H22" s="46"/>
      <c r="I22" s="46"/>
      <c r="J22" s="4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0"/>
      <c r="W22" s="70"/>
      <c r="X22" s="70"/>
      <c r="Y22" s="1"/>
      <c r="Z22" s="1"/>
    </row>
    <row r="23" ht="15.0" customHeight="1">
      <c r="A23" s="1"/>
      <c r="B23" s="79" t="s">
        <v>211</v>
      </c>
      <c r="C23" s="80">
        <f>SUMIFS('freee実績'!$E:$E,'freee実績'!$B:$B,"2027-03",'freee実績'!$C:$C,"保険料")</f>
        <v>0</v>
      </c>
      <c r="D23" s="81" t="s">
        <v>202</v>
      </c>
      <c r="E23" s="152"/>
      <c r="F23" s="1"/>
      <c r="G23" s="56" t="s">
        <v>212</v>
      </c>
      <c r="H23" s="56" t="s">
        <v>213</v>
      </c>
      <c r="I23" s="56"/>
      <c r="J23" s="56" t="s">
        <v>214</v>
      </c>
      <c r="K23" s="1"/>
      <c r="L23" s="86" t="s">
        <v>215</v>
      </c>
      <c r="M23" s="87">
        <f>Q13+R13+M21</f>
        <v>0</v>
      </c>
      <c r="N23" s="88"/>
      <c r="O23" s="88"/>
      <c r="P23" s="88"/>
      <c r="Q23" s="88"/>
      <c r="R23" s="88"/>
      <c r="S23" s="1"/>
      <c r="T23" s="1"/>
      <c r="U23" s="57" t="s">
        <v>216</v>
      </c>
      <c r="V23" s="46"/>
      <c r="W23" s="46"/>
      <c r="X23" s="46"/>
      <c r="Y23" s="46"/>
      <c r="Z23" s="1"/>
    </row>
    <row r="24" ht="15.0" customHeight="1">
      <c r="A24" s="1"/>
      <c r="B24" s="58" t="s">
        <v>217</v>
      </c>
      <c r="C24" s="89">
        <f>'役員報酬・社保'!C17+'役員報酬・社保'!D17+'役員報酬・社保'!E17+'役員報酬・社保'!F71+86400</f>
        <v>297743.1</v>
      </c>
      <c r="D24" s="90" t="s">
        <v>218</v>
      </c>
      <c r="E24" s="152"/>
      <c r="F24" s="1"/>
      <c r="G24" s="58" t="s">
        <v>219</v>
      </c>
      <c r="H24" s="91">
        <f>'3月日次売上'!J35</f>
        <v>0</v>
      </c>
      <c r="I24" s="78"/>
      <c r="J24" s="92"/>
      <c r="K24" s="1"/>
      <c r="L24" s="1"/>
      <c r="M24" s="1"/>
      <c r="N24" s="1"/>
      <c r="O24" s="1"/>
      <c r="P24" s="1"/>
      <c r="Q24" s="1"/>
      <c r="R24" s="1"/>
      <c r="S24" s="1"/>
      <c r="T24" s="1"/>
      <c r="U24" s="66" t="s">
        <v>3</v>
      </c>
      <c r="V24" s="67" t="s">
        <v>159</v>
      </c>
      <c r="W24" s="67" t="s">
        <v>160</v>
      </c>
      <c r="X24" s="67" t="s">
        <v>161</v>
      </c>
      <c r="Y24" s="66" t="s">
        <v>162</v>
      </c>
      <c r="Z24" s="1"/>
    </row>
    <row r="25" ht="15.0" customHeight="1">
      <c r="A25" s="1"/>
      <c r="B25" s="58" t="s">
        <v>220</v>
      </c>
      <c r="C25" s="93">
        <f>SUMIFS('freee実績'!$E:$E,'freee実績'!$B:$B,"2027-03",'freee実績'!$C:$C,"消耗品費")</f>
        <v>0</v>
      </c>
      <c r="D25" s="90" t="s">
        <v>218</v>
      </c>
      <c r="E25" s="152"/>
      <c r="F25" s="1"/>
      <c r="G25" s="58" t="s">
        <v>173</v>
      </c>
      <c r="H25" s="65">
        <f>IF(H24=0,0,H20/H24)</f>
        <v>0</v>
      </c>
      <c r="I25" s="78"/>
      <c r="J25" s="94" t="s">
        <v>221</v>
      </c>
      <c r="K25" s="1"/>
      <c r="L25" s="95" t="s">
        <v>222</v>
      </c>
      <c r="M25" s="1"/>
      <c r="N25" s="1"/>
      <c r="O25" s="1"/>
      <c r="P25" s="1"/>
      <c r="Q25" s="1"/>
      <c r="R25" s="1"/>
      <c r="S25" s="1"/>
      <c r="T25" s="1"/>
      <c r="U25" s="6" t="s">
        <v>223</v>
      </c>
      <c r="V25" s="69" t="str">
        <f>'売上計画'!N61</f>
        <v/>
      </c>
      <c r="W25" s="69">
        <f>I39</f>
        <v>-312176.9333</v>
      </c>
      <c r="X25" s="69">
        <f t="shared" ref="X25:X26" si="10">W25-V25</f>
        <v>-312176.9333</v>
      </c>
      <c r="Y25" s="71">
        <f>IF(V25=0,0,W25/V25)</f>
        <v>0</v>
      </c>
      <c r="Z25" s="1"/>
    </row>
    <row r="26" ht="15.0" customHeight="1">
      <c r="A26" s="1"/>
      <c r="B26" s="58" t="s">
        <v>224</v>
      </c>
      <c r="C26" s="93">
        <f>SUMIFS('freee実績'!$E:$E,'freee実績'!$B:$B,"2027-03",'freee実績'!$C:$C,"広告宣伝費")</f>
        <v>0</v>
      </c>
      <c r="D26" s="90" t="s">
        <v>218</v>
      </c>
      <c r="E26" s="152"/>
      <c r="F26" s="1"/>
      <c r="G26" s="58" t="s">
        <v>225</v>
      </c>
      <c r="H26" s="63">
        <v>31.0</v>
      </c>
      <c r="I26" s="78"/>
      <c r="J26" s="92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226</v>
      </c>
      <c r="V26" s="71">
        <f>'売上計画'!N62</f>
        <v>1038565</v>
      </c>
      <c r="W26" s="71">
        <f>IF(W8=0,0,W25/W8)</f>
        <v>0</v>
      </c>
      <c r="X26" s="71">
        <f t="shared" si="10"/>
        <v>-1038565</v>
      </c>
      <c r="Y26" s="1"/>
      <c r="Z26" s="1"/>
    </row>
    <row r="27" ht="15.0" customHeight="1">
      <c r="A27" s="1"/>
      <c r="B27" s="58" t="s">
        <v>227</v>
      </c>
      <c r="C27" s="93">
        <f>SUMIFS('freee実績'!$E:$E,'freee実績'!$B:$B,"2027-03",'freee実績'!$C:$C,"修繕費")</f>
        <v>0</v>
      </c>
      <c r="D27" s="90" t="s">
        <v>218</v>
      </c>
      <c r="E27" s="152"/>
      <c r="F27" s="1"/>
      <c r="G27" s="58" t="s">
        <v>228</v>
      </c>
      <c r="H27" s="65">
        <f>IF(H26=0,0,H20/H26)</f>
        <v>0</v>
      </c>
      <c r="I27" s="78"/>
      <c r="J27" s="94" t="s">
        <v>229</v>
      </c>
      <c r="K27" s="1"/>
      <c r="L27" s="85" t="s">
        <v>230</v>
      </c>
      <c r="M27" s="46"/>
      <c r="N27" s="46"/>
      <c r="O27" s="46"/>
      <c r="P27" s="46"/>
      <c r="Q27" s="46"/>
      <c r="R27" s="46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8" t="s">
        <v>231</v>
      </c>
      <c r="C28" s="93">
        <f>SUMIFS('freee実績'!$E:$E,'freee実績'!$B:$B,"2027-03",'freee実績'!$C:$C,"雑費")</f>
        <v>0</v>
      </c>
      <c r="D28" s="90" t="s">
        <v>218</v>
      </c>
      <c r="E28" s="152"/>
      <c r="F28" s="1"/>
      <c r="G28" s="58" t="s">
        <v>179</v>
      </c>
      <c r="H28" s="96">
        <f>IF(H20=0,0,C16/H20)</f>
        <v>0</v>
      </c>
      <c r="I28" s="78"/>
      <c r="J28" s="94" t="s">
        <v>232</v>
      </c>
      <c r="K28" s="1"/>
      <c r="L28" s="56" t="s">
        <v>212</v>
      </c>
      <c r="M28" s="56" t="s">
        <v>213</v>
      </c>
      <c r="N28" s="56"/>
      <c r="O28" s="56"/>
      <c r="P28" s="56"/>
      <c r="Q28" s="56"/>
      <c r="R28" s="56" t="s">
        <v>214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97" t="s">
        <v>233</v>
      </c>
      <c r="C29" s="98">
        <f>'固定資産台帳'!W26</f>
        <v>14433.83333</v>
      </c>
      <c r="D29" s="99" t="s">
        <v>234</v>
      </c>
      <c r="E29" s="152"/>
      <c r="F29" s="1"/>
      <c r="G29" s="1"/>
      <c r="H29" s="1"/>
      <c r="I29" s="1"/>
      <c r="J29" s="1"/>
      <c r="K29" s="1"/>
      <c r="L29" s="58" t="s">
        <v>235</v>
      </c>
      <c r="M29" s="96">
        <f>IF(H20=0,0,M23/H20)</f>
        <v>0</v>
      </c>
      <c r="N29" s="78"/>
      <c r="O29" s="78"/>
      <c r="P29" s="78"/>
      <c r="Q29" s="78"/>
      <c r="R29" s="94" t="s">
        <v>236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2" t="s">
        <v>237</v>
      </c>
      <c r="C30" s="73">
        <f>SUM(C20:C29)</f>
        <v>312176.9333</v>
      </c>
      <c r="D30" s="74"/>
      <c r="E30" s="74"/>
      <c r="F30" s="1"/>
      <c r="G30" s="1"/>
      <c r="H30" s="1"/>
      <c r="I30" s="1"/>
      <c r="J30" s="1"/>
      <c r="K30" s="1"/>
      <c r="L30" s="58" t="s">
        <v>238</v>
      </c>
      <c r="M30" s="65">
        <f>IF((SUM(N5:N12)*SUM(O5:O12))=0,0,H20/(SUM(N5:N12)*SUM(O5:O12)))</f>
        <v>0</v>
      </c>
      <c r="N30" s="78"/>
      <c r="O30" s="78"/>
      <c r="P30" s="78"/>
      <c r="Q30" s="78"/>
      <c r="R30" s="94" t="s">
        <v>239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77" t="s">
        <v>240</v>
      </c>
      <c r="C32" s="46"/>
      <c r="D32" s="46"/>
      <c r="E32" s="46"/>
      <c r="F32" s="100"/>
      <c r="G32" s="53" t="s">
        <v>241</v>
      </c>
      <c r="H32" s="46"/>
      <c r="I32" s="46"/>
      <c r="J32" s="46"/>
      <c r="K32" s="1"/>
      <c r="L32" s="101" t="s">
        <v>242</v>
      </c>
      <c r="M32" s="46"/>
      <c r="N32" s="46"/>
      <c r="O32" s="46"/>
      <c r="P32" s="46"/>
      <c r="Q32" s="46"/>
      <c r="R32" s="46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6" t="s">
        <v>146</v>
      </c>
      <c r="C33" s="56" t="s">
        <v>243</v>
      </c>
      <c r="D33" s="56" t="s">
        <v>160</v>
      </c>
      <c r="E33" s="102" t="s">
        <v>244</v>
      </c>
      <c r="F33" s="56" t="s">
        <v>148</v>
      </c>
      <c r="G33" s="56"/>
      <c r="H33" s="56" t="s">
        <v>3</v>
      </c>
      <c r="I33" s="56" t="s">
        <v>133</v>
      </c>
      <c r="J33" s="56"/>
      <c r="K33" s="1"/>
      <c r="L33" s="95" t="s">
        <v>245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58" t="s">
        <v>294</v>
      </c>
      <c r="C34" s="76"/>
      <c r="D34" s="59"/>
      <c r="E34" s="65">
        <f t="shared" ref="E34:E54" si="11">C34-D34</f>
        <v>0</v>
      </c>
      <c r="F34" s="109"/>
      <c r="G34" s="78"/>
      <c r="H34" s="106" t="s">
        <v>246</v>
      </c>
      <c r="I34" s="65">
        <f>H20</f>
        <v>0</v>
      </c>
      <c r="J34" s="78"/>
      <c r="K34" s="1"/>
      <c r="L34" s="107" t="s">
        <v>247</v>
      </c>
      <c r="M34" s="108" t="s">
        <v>248</v>
      </c>
      <c r="N34" s="95" t="s">
        <v>249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58" t="s">
        <v>295</v>
      </c>
      <c r="C35" s="76"/>
      <c r="D35" s="59"/>
      <c r="E35" s="65">
        <f t="shared" si="11"/>
        <v>0</v>
      </c>
      <c r="F35" s="109"/>
      <c r="G35" s="78"/>
      <c r="H35" s="106" t="s">
        <v>183</v>
      </c>
      <c r="I35" s="65">
        <f>C16</f>
        <v>0</v>
      </c>
      <c r="J35" s="78"/>
      <c r="K35" s="1"/>
      <c r="L35" s="58" t="s">
        <v>250</v>
      </c>
      <c r="M35" s="52">
        <f>M23</f>
        <v>0</v>
      </c>
      <c r="N35" s="110" t="s">
        <v>251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58" t="s">
        <v>296</v>
      </c>
      <c r="C36" s="76"/>
      <c r="D36" s="59"/>
      <c r="E36" s="65">
        <f t="shared" si="11"/>
        <v>0</v>
      </c>
      <c r="F36" s="109"/>
      <c r="G36" s="78"/>
      <c r="H36" s="106" t="s">
        <v>185</v>
      </c>
      <c r="I36" s="65">
        <f>I34-I35</f>
        <v>0</v>
      </c>
      <c r="J36" s="78"/>
      <c r="K36" s="1"/>
      <c r="L36" s="58" t="s">
        <v>252</v>
      </c>
      <c r="M36" s="65">
        <f>IF(M34="支払い",M35,0)</f>
        <v>0</v>
      </c>
      <c r="N36" s="95" t="s">
        <v>253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0"/>
      <c r="C37" s="76"/>
      <c r="D37" s="59"/>
      <c r="E37" s="65">
        <f t="shared" si="11"/>
        <v>0</v>
      </c>
      <c r="F37" s="109"/>
      <c r="G37" s="78"/>
      <c r="H37" s="106" t="s">
        <v>254</v>
      </c>
      <c r="I37" s="96">
        <f>IF(I34=0,0,I36/I34)</f>
        <v>0</v>
      </c>
      <c r="J37" s="78"/>
      <c r="K37" s="1"/>
      <c r="L37" s="111" t="s">
        <v>255</v>
      </c>
      <c r="M37" s="112">
        <f>M35-M36</f>
        <v>0</v>
      </c>
      <c r="N37" s="95" t="s">
        <v>256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3"/>
      <c r="C38" s="76"/>
      <c r="D38" s="59"/>
      <c r="E38" s="65">
        <f t="shared" si="11"/>
        <v>0</v>
      </c>
      <c r="F38" s="109"/>
      <c r="G38" s="78"/>
      <c r="H38" s="106" t="s">
        <v>208</v>
      </c>
      <c r="I38" s="65">
        <f>C30</f>
        <v>312176.9333</v>
      </c>
      <c r="J38" s="78"/>
      <c r="K38" s="1"/>
      <c r="L38" s="58" t="s">
        <v>257</v>
      </c>
      <c r="M38" s="52">
        <f>'2月'!M39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0"/>
      <c r="C39" s="76"/>
      <c r="D39" s="59"/>
      <c r="E39" s="65">
        <f t="shared" si="11"/>
        <v>0</v>
      </c>
      <c r="F39" s="109"/>
      <c r="G39" s="78"/>
      <c r="H39" s="113" t="s">
        <v>223</v>
      </c>
      <c r="I39" s="114">
        <f>I36-I38</f>
        <v>-312176.9333</v>
      </c>
      <c r="J39" s="115"/>
      <c r="K39" s="1"/>
      <c r="L39" s="116" t="s">
        <v>258</v>
      </c>
      <c r="M39" s="117">
        <f>M38+M37</f>
        <v>0</v>
      </c>
      <c r="N39" s="95" t="s">
        <v>259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3"/>
      <c r="C40" s="76"/>
      <c r="D40" s="59"/>
      <c r="E40" s="65">
        <f t="shared" si="11"/>
        <v>0</v>
      </c>
      <c r="F40" s="109"/>
      <c r="G40" s="118"/>
      <c r="H40" s="118"/>
      <c r="I40" s="118"/>
      <c r="J40" s="1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0"/>
      <c r="C41" s="76"/>
      <c r="D41" s="59"/>
      <c r="E41" s="65">
        <f t="shared" si="11"/>
        <v>0</v>
      </c>
      <c r="F41" s="109"/>
      <c r="G41" s="118"/>
      <c r="H41" s="118"/>
      <c r="I41" s="118"/>
      <c r="J41" s="118"/>
      <c r="K41" s="1"/>
      <c r="L41" s="58" t="s">
        <v>260</v>
      </c>
      <c r="M41" s="59"/>
      <c r="N41" s="95" t="s">
        <v>261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3"/>
      <c r="C42" s="76"/>
      <c r="D42" s="59"/>
      <c r="E42" s="65">
        <f t="shared" si="11"/>
        <v>0</v>
      </c>
      <c r="F42" s="109"/>
      <c r="G42" s="118"/>
      <c r="H42" s="118"/>
      <c r="I42" s="118"/>
      <c r="J42" s="1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0"/>
      <c r="C43" s="76"/>
      <c r="D43" s="59"/>
      <c r="E43" s="65">
        <f t="shared" si="11"/>
        <v>0</v>
      </c>
      <c r="F43" s="109"/>
      <c r="G43" s="118"/>
      <c r="H43" s="118"/>
      <c r="I43" s="118"/>
      <c r="J43" s="1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3"/>
      <c r="C44" s="76"/>
      <c r="D44" s="59"/>
      <c r="E44" s="65">
        <f t="shared" si="11"/>
        <v>0</v>
      </c>
      <c r="F44" s="109"/>
      <c r="G44" s="118"/>
      <c r="H44" s="118"/>
      <c r="I44" s="118"/>
      <c r="J44" s="1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0"/>
      <c r="C45" s="76"/>
      <c r="D45" s="59"/>
      <c r="E45" s="65">
        <f t="shared" si="11"/>
        <v>0</v>
      </c>
      <c r="F45" s="109"/>
      <c r="G45" s="118"/>
      <c r="H45" s="118"/>
      <c r="I45" s="118"/>
      <c r="J45" s="1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3"/>
      <c r="C46" s="76"/>
      <c r="D46" s="59"/>
      <c r="E46" s="65">
        <f t="shared" si="11"/>
        <v>0</v>
      </c>
      <c r="F46" s="109"/>
      <c r="G46" s="118"/>
      <c r="H46" s="118"/>
      <c r="I46" s="118"/>
      <c r="J46" s="1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0"/>
      <c r="C47" s="76"/>
      <c r="D47" s="59"/>
      <c r="E47" s="65">
        <f t="shared" si="11"/>
        <v>0</v>
      </c>
      <c r="F47" s="109"/>
      <c r="G47" s="118"/>
      <c r="H47" s="118"/>
      <c r="I47" s="118"/>
      <c r="J47" s="1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3"/>
      <c r="C48" s="76"/>
      <c r="D48" s="59"/>
      <c r="E48" s="65">
        <f t="shared" si="11"/>
        <v>0</v>
      </c>
      <c r="F48" s="109"/>
      <c r="G48" s="118"/>
      <c r="H48" s="118"/>
      <c r="I48" s="118"/>
      <c r="J48" s="1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0"/>
      <c r="C49" s="76"/>
      <c r="D49" s="59"/>
      <c r="E49" s="65">
        <f t="shared" si="11"/>
        <v>0</v>
      </c>
      <c r="F49" s="109"/>
      <c r="G49" s="118"/>
      <c r="H49" s="118"/>
      <c r="I49" s="118"/>
      <c r="J49" s="1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3"/>
      <c r="C50" s="76"/>
      <c r="D50" s="59"/>
      <c r="E50" s="65">
        <f t="shared" si="11"/>
        <v>0</v>
      </c>
      <c r="F50" s="109"/>
      <c r="G50" s="118"/>
      <c r="H50" s="118"/>
      <c r="I50" s="118"/>
      <c r="J50" s="1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0"/>
      <c r="C51" s="76"/>
      <c r="D51" s="59"/>
      <c r="E51" s="65">
        <f t="shared" si="11"/>
        <v>0</v>
      </c>
      <c r="F51" s="109"/>
      <c r="G51" s="118"/>
      <c r="H51" s="118"/>
      <c r="I51" s="118"/>
      <c r="J51" s="1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3"/>
      <c r="C52" s="76"/>
      <c r="D52" s="59"/>
      <c r="E52" s="65">
        <f t="shared" si="11"/>
        <v>0</v>
      </c>
      <c r="F52" s="109"/>
      <c r="G52" s="118"/>
      <c r="H52" s="118"/>
      <c r="I52" s="118"/>
      <c r="J52" s="1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0"/>
      <c r="C53" s="76"/>
      <c r="D53" s="59"/>
      <c r="E53" s="65">
        <f t="shared" si="11"/>
        <v>0</v>
      </c>
      <c r="F53" s="109"/>
      <c r="G53" s="118"/>
      <c r="H53" s="118"/>
      <c r="I53" s="118"/>
      <c r="J53" s="1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2" t="s">
        <v>262</v>
      </c>
      <c r="C54" s="73">
        <f t="shared" ref="C54:D54" si="12">SUM(C34:C53)</f>
        <v>0</v>
      </c>
      <c r="D54" s="73">
        <f t="shared" si="12"/>
        <v>0</v>
      </c>
      <c r="E54" s="73">
        <f t="shared" si="11"/>
        <v>0</v>
      </c>
      <c r="F54" s="74"/>
      <c r="G54" s="118"/>
      <c r="H54" s="119"/>
      <c r="I54" s="120"/>
      <c r="J54" s="1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18"/>
      <c r="H55" s="119"/>
      <c r="I55" s="121"/>
      <c r="J55" s="1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2" t="s">
        <v>263</v>
      </c>
      <c r="C56" s="123">
        <f>C16+C30+D54</f>
        <v>312176.9333</v>
      </c>
      <c r="D56" s="124"/>
      <c r="E56" s="124"/>
      <c r="F56" s="1"/>
      <c r="G56" s="118"/>
      <c r="H56" s="119"/>
      <c r="I56" s="121"/>
      <c r="J56" s="1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18"/>
      <c r="H57" s="118"/>
      <c r="I57" s="118"/>
      <c r="J57" s="1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5" t="s">
        <v>264</v>
      </c>
      <c r="H58" s="46"/>
      <c r="I58" s="46"/>
      <c r="J58" s="4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6"/>
      <c r="H59" s="56" t="s">
        <v>3</v>
      </c>
      <c r="I59" s="56" t="s">
        <v>133</v>
      </c>
      <c r="J59" s="5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6"/>
      <c r="H60" s="127" t="s">
        <v>223</v>
      </c>
      <c r="I60" s="128">
        <f>I39</f>
        <v>-312176.9333</v>
      </c>
      <c r="J60" s="12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6"/>
      <c r="H61" s="127" t="s">
        <v>265</v>
      </c>
      <c r="I61" s="130">
        <f>C29</f>
        <v>14433.83333</v>
      </c>
      <c r="J61" s="131" t="s">
        <v>266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2"/>
      <c r="H62" s="72" t="s">
        <v>267</v>
      </c>
      <c r="I62" s="73">
        <f>I60+I61+M37-M41</f>
        <v>-297743.1</v>
      </c>
      <c r="J62" s="133" t="s">
        <v>268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18"/>
      <c r="H63" s="118"/>
      <c r="I63" s="118"/>
      <c r="J63" s="1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6"/>
      <c r="H64" s="127" t="s">
        <v>269</v>
      </c>
      <c r="I64" s="130">
        <f>D54</f>
        <v>0</v>
      </c>
      <c r="J64" s="131" t="s">
        <v>270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2"/>
      <c r="H65" s="72" t="s">
        <v>271</v>
      </c>
      <c r="I65" s="73">
        <f>-I64</f>
        <v>0</v>
      </c>
      <c r="J65" s="133" t="s">
        <v>272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18"/>
      <c r="H66" s="118"/>
      <c r="I66" s="118"/>
      <c r="J66" s="1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6"/>
      <c r="H67" s="127" t="s">
        <v>273</v>
      </c>
      <c r="I67" s="130" t="str">
        <f>C6</f>
        <v/>
      </c>
      <c r="J67" s="12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2"/>
      <c r="H68" s="72" t="s">
        <v>274</v>
      </c>
      <c r="I68" s="73" t="str">
        <f>I67</f>
        <v/>
      </c>
      <c r="J68" s="1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18"/>
      <c r="H69" s="118"/>
      <c r="I69" s="118"/>
      <c r="J69" s="1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3" t="s">
        <v>275</v>
      </c>
      <c r="H70" s="46"/>
      <c r="I70" s="46"/>
      <c r="J70" s="4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4"/>
      <c r="H71" s="58" t="s">
        <v>276</v>
      </c>
      <c r="I71" s="89">
        <f>C5</f>
        <v>240387.7</v>
      </c>
      <c r="J71" s="13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4"/>
      <c r="H72" s="58" t="s">
        <v>277</v>
      </c>
      <c r="I72" s="104">
        <f>I62</f>
        <v>-297743.1</v>
      </c>
      <c r="J72" s="13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4"/>
      <c r="H73" s="58" t="s">
        <v>278</v>
      </c>
      <c r="I73" s="104">
        <f>I65</f>
        <v>0</v>
      </c>
      <c r="J73" s="1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4"/>
      <c r="H74" s="58" t="s">
        <v>279</v>
      </c>
      <c r="I74" s="104" t="str">
        <f>I68</f>
        <v/>
      </c>
      <c r="J74" s="1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6"/>
      <c r="H75" s="137" t="s">
        <v>280</v>
      </c>
      <c r="I75" s="138">
        <f>I71+I72+I73+I74</f>
        <v>-57355.4</v>
      </c>
      <c r="J75" s="139" t="s">
        <v>281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18"/>
      <c r="H76" s="118"/>
      <c r="I76" s="118"/>
      <c r="J76" s="1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18"/>
      <c r="H77" s="95" t="s">
        <v>282</v>
      </c>
      <c r="I77" s="118"/>
      <c r="J77" s="1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4"/>
      <c r="H78" s="140" t="s">
        <v>283</v>
      </c>
      <c r="I78" s="141">
        <f>I39</f>
        <v>-312176.9333</v>
      </c>
      <c r="J78" s="1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4"/>
      <c r="H79" s="140" t="s">
        <v>284</v>
      </c>
      <c r="I79" s="141">
        <f>I72+I73+I74</f>
        <v>-297743.1</v>
      </c>
      <c r="J79" s="1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2"/>
      <c r="H80" s="143" t="s">
        <v>285</v>
      </c>
      <c r="I80" s="144">
        <f>I79-I78</f>
        <v>14433.83333</v>
      </c>
      <c r="J80" s="143" t="s">
        <v>286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18"/>
      <c r="H81" s="118"/>
      <c r="I81" s="118"/>
      <c r="J81" s="1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6"/>
      <c r="H82" s="145" t="s">
        <v>287</v>
      </c>
      <c r="I82" s="146">
        <f>I75</f>
        <v>-57355.4</v>
      </c>
      <c r="J82" s="147" t="s">
        <v>288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48"/>
      <c r="H83" s="149" t="s">
        <v>289</v>
      </c>
      <c r="I83" s="150">
        <f>I75-M37</f>
        <v>-57355.4</v>
      </c>
      <c r="J83" s="151" t="s">
        <v>290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18"/>
      <c r="H84" s="118"/>
      <c r="I84" s="118"/>
      <c r="J84" s="1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4" t="s">
        <v>340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2" t="s">
        <v>341</v>
      </c>
      <c r="C3" s="102" t="s">
        <v>158</v>
      </c>
      <c r="D3" s="102" t="s">
        <v>164</v>
      </c>
      <c r="E3" s="102" t="s">
        <v>167</v>
      </c>
      <c r="F3" s="102" t="s">
        <v>169</v>
      </c>
      <c r="G3" s="102" t="s">
        <v>172</v>
      </c>
      <c r="H3" s="102" t="s">
        <v>174</v>
      </c>
      <c r="I3" s="102" t="s">
        <v>342</v>
      </c>
      <c r="J3" s="102" t="s">
        <v>343</v>
      </c>
      <c r="K3" s="102"/>
      <c r="L3" s="102" t="s">
        <v>344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4">
        <v>1.0</v>
      </c>
      <c r="C4" s="76"/>
      <c r="D4" s="76"/>
      <c r="E4" s="76"/>
      <c r="F4" s="76"/>
      <c r="G4" s="76"/>
      <c r="H4" s="76"/>
      <c r="I4" s="76"/>
      <c r="J4" s="175"/>
      <c r="K4" s="1"/>
      <c r="L4" s="176">
        <f t="shared" ref="L4:L33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4">
        <v>2.0</v>
      </c>
      <c r="C5" s="93"/>
      <c r="D5" s="93"/>
      <c r="E5" s="93"/>
      <c r="F5" s="93"/>
      <c r="G5" s="93"/>
      <c r="H5" s="93"/>
      <c r="I5" s="93"/>
      <c r="J5" s="177"/>
      <c r="K5" s="1"/>
      <c r="L5" s="176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4">
        <v>3.0</v>
      </c>
      <c r="C6" s="76"/>
      <c r="D6" s="76"/>
      <c r="E6" s="76"/>
      <c r="F6" s="76"/>
      <c r="G6" s="76"/>
      <c r="H6" s="76"/>
      <c r="I6" s="76"/>
      <c r="J6" s="175"/>
      <c r="K6" s="1"/>
      <c r="L6" s="176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4">
        <v>4.0</v>
      </c>
      <c r="C7" s="93"/>
      <c r="D7" s="93"/>
      <c r="E7" s="93"/>
      <c r="F7" s="93"/>
      <c r="G7" s="93"/>
      <c r="H7" s="93"/>
      <c r="I7" s="93"/>
      <c r="J7" s="177"/>
      <c r="K7" s="1"/>
      <c r="L7" s="176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4">
        <v>5.0</v>
      </c>
      <c r="C8" s="76"/>
      <c r="D8" s="76"/>
      <c r="E8" s="76"/>
      <c r="F8" s="76"/>
      <c r="G8" s="76"/>
      <c r="H8" s="76"/>
      <c r="I8" s="76"/>
      <c r="J8" s="175"/>
      <c r="K8" s="1"/>
      <c r="L8" s="176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4">
        <v>6.0</v>
      </c>
      <c r="C9" s="93"/>
      <c r="D9" s="93"/>
      <c r="E9" s="93"/>
      <c r="F9" s="93"/>
      <c r="G9" s="93"/>
      <c r="H9" s="93"/>
      <c r="I9" s="93"/>
      <c r="J9" s="177"/>
      <c r="K9" s="1"/>
      <c r="L9" s="176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4">
        <v>7.0</v>
      </c>
      <c r="C10" s="76"/>
      <c r="D10" s="76"/>
      <c r="E10" s="76"/>
      <c r="F10" s="76"/>
      <c r="G10" s="76"/>
      <c r="H10" s="76"/>
      <c r="I10" s="76"/>
      <c r="J10" s="175"/>
      <c r="K10" s="1"/>
      <c r="L10" s="176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4">
        <v>8.0</v>
      </c>
      <c r="C11" s="93"/>
      <c r="D11" s="93"/>
      <c r="E11" s="93"/>
      <c r="F11" s="93"/>
      <c r="G11" s="93"/>
      <c r="H11" s="93"/>
      <c r="I11" s="93"/>
      <c r="J11" s="177"/>
      <c r="K11" s="1"/>
      <c r="L11" s="176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4">
        <v>9.0</v>
      </c>
      <c r="C12" s="76"/>
      <c r="D12" s="76"/>
      <c r="E12" s="76"/>
      <c r="F12" s="76"/>
      <c r="G12" s="76"/>
      <c r="H12" s="76"/>
      <c r="I12" s="76"/>
      <c r="J12" s="175"/>
      <c r="K12" s="1"/>
      <c r="L12" s="176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4">
        <v>10.0</v>
      </c>
      <c r="C13" s="93"/>
      <c r="D13" s="93"/>
      <c r="E13" s="93"/>
      <c r="F13" s="93"/>
      <c r="G13" s="93"/>
      <c r="H13" s="93"/>
      <c r="I13" s="93"/>
      <c r="J13" s="177"/>
      <c r="K13" s="1"/>
      <c r="L13" s="176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4">
        <v>11.0</v>
      </c>
      <c r="C14" s="76"/>
      <c r="D14" s="76"/>
      <c r="E14" s="76"/>
      <c r="F14" s="76"/>
      <c r="G14" s="76"/>
      <c r="H14" s="76"/>
      <c r="I14" s="76"/>
      <c r="J14" s="175"/>
      <c r="K14" s="1"/>
      <c r="L14" s="176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4">
        <v>12.0</v>
      </c>
      <c r="C15" s="93"/>
      <c r="D15" s="93"/>
      <c r="E15" s="93"/>
      <c r="F15" s="93"/>
      <c r="G15" s="93"/>
      <c r="H15" s="93"/>
      <c r="I15" s="93"/>
      <c r="J15" s="177"/>
      <c r="K15" s="1"/>
      <c r="L15" s="176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4">
        <v>13.0</v>
      </c>
      <c r="C16" s="76"/>
      <c r="D16" s="76"/>
      <c r="E16" s="76"/>
      <c r="F16" s="76"/>
      <c r="G16" s="76"/>
      <c r="H16" s="76"/>
      <c r="I16" s="76"/>
      <c r="J16" s="175"/>
      <c r="K16" s="1"/>
      <c r="L16" s="176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4">
        <v>14.0</v>
      </c>
      <c r="C17" s="93"/>
      <c r="D17" s="93"/>
      <c r="E17" s="93"/>
      <c r="F17" s="93"/>
      <c r="G17" s="93"/>
      <c r="H17" s="93"/>
      <c r="I17" s="93"/>
      <c r="J17" s="177"/>
      <c r="K17" s="1"/>
      <c r="L17" s="176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4">
        <v>15.0</v>
      </c>
      <c r="C18" s="76"/>
      <c r="D18" s="76"/>
      <c r="E18" s="76"/>
      <c r="F18" s="76"/>
      <c r="G18" s="76"/>
      <c r="H18" s="76"/>
      <c r="I18" s="76"/>
      <c r="J18" s="175"/>
      <c r="K18" s="1"/>
      <c r="L18" s="176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4">
        <v>16.0</v>
      </c>
      <c r="C19" s="93"/>
      <c r="D19" s="93"/>
      <c r="E19" s="93"/>
      <c r="F19" s="93"/>
      <c r="G19" s="93"/>
      <c r="H19" s="93"/>
      <c r="I19" s="93"/>
      <c r="J19" s="177"/>
      <c r="K19" s="1"/>
      <c r="L19" s="176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4">
        <v>17.0</v>
      </c>
      <c r="C20" s="76"/>
      <c r="D20" s="76"/>
      <c r="E20" s="76"/>
      <c r="F20" s="76"/>
      <c r="G20" s="76"/>
      <c r="H20" s="76"/>
      <c r="I20" s="76"/>
      <c r="J20" s="175"/>
      <c r="K20" s="1"/>
      <c r="L20" s="176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4">
        <v>18.0</v>
      </c>
      <c r="C21" s="93"/>
      <c r="D21" s="93"/>
      <c r="E21" s="93"/>
      <c r="F21" s="93"/>
      <c r="G21" s="93"/>
      <c r="H21" s="93"/>
      <c r="I21" s="93"/>
      <c r="J21" s="177"/>
      <c r="K21" s="1"/>
      <c r="L21" s="176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4">
        <v>19.0</v>
      </c>
      <c r="C22" s="76"/>
      <c r="D22" s="76"/>
      <c r="E22" s="76"/>
      <c r="F22" s="76"/>
      <c r="G22" s="76"/>
      <c r="H22" s="76"/>
      <c r="I22" s="76"/>
      <c r="J22" s="175"/>
      <c r="K22" s="1"/>
      <c r="L22" s="176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4">
        <v>20.0</v>
      </c>
      <c r="C23" s="93"/>
      <c r="D23" s="93"/>
      <c r="E23" s="93"/>
      <c r="F23" s="93"/>
      <c r="G23" s="93"/>
      <c r="H23" s="93"/>
      <c r="I23" s="93"/>
      <c r="J23" s="177"/>
      <c r="K23" s="1"/>
      <c r="L23" s="176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4">
        <v>21.0</v>
      </c>
      <c r="C24" s="76"/>
      <c r="D24" s="76"/>
      <c r="E24" s="76"/>
      <c r="F24" s="76"/>
      <c r="G24" s="76"/>
      <c r="H24" s="76"/>
      <c r="I24" s="76"/>
      <c r="J24" s="175"/>
      <c r="K24" s="1"/>
      <c r="L24" s="176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4">
        <v>22.0</v>
      </c>
      <c r="C25" s="93"/>
      <c r="D25" s="93"/>
      <c r="E25" s="93"/>
      <c r="F25" s="93"/>
      <c r="G25" s="93"/>
      <c r="H25" s="93"/>
      <c r="I25" s="93"/>
      <c r="J25" s="177"/>
      <c r="K25" s="1"/>
      <c r="L25" s="176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4">
        <v>23.0</v>
      </c>
      <c r="C26" s="76"/>
      <c r="D26" s="76"/>
      <c r="E26" s="76"/>
      <c r="F26" s="76"/>
      <c r="G26" s="76"/>
      <c r="H26" s="76"/>
      <c r="I26" s="76"/>
      <c r="J26" s="175"/>
      <c r="K26" s="1"/>
      <c r="L26" s="176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4">
        <v>24.0</v>
      </c>
      <c r="C27" s="93"/>
      <c r="D27" s="93"/>
      <c r="E27" s="93"/>
      <c r="F27" s="93"/>
      <c r="G27" s="93"/>
      <c r="H27" s="93"/>
      <c r="I27" s="93"/>
      <c r="J27" s="177"/>
      <c r="K27" s="1"/>
      <c r="L27" s="176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4">
        <v>25.0</v>
      </c>
      <c r="C28" s="76"/>
      <c r="D28" s="76"/>
      <c r="E28" s="76"/>
      <c r="F28" s="76"/>
      <c r="G28" s="76"/>
      <c r="H28" s="76"/>
      <c r="I28" s="76"/>
      <c r="J28" s="175"/>
      <c r="K28" s="1"/>
      <c r="L28" s="176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4">
        <v>26.0</v>
      </c>
      <c r="C29" s="93"/>
      <c r="D29" s="93"/>
      <c r="E29" s="93"/>
      <c r="F29" s="93"/>
      <c r="G29" s="93"/>
      <c r="H29" s="93"/>
      <c r="I29" s="93"/>
      <c r="J29" s="177"/>
      <c r="K29" s="1"/>
      <c r="L29" s="176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4">
        <v>27.0</v>
      </c>
      <c r="C30" s="76"/>
      <c r="D30" s="76"/>
      <c r="E30" s="76"/>
      <c r="F30" s="76"/>
      <c r="G30" s="76"/>
      <c r="H30" s="76"/>
      <c r="I30" s="76"/>
      <c r="J30" s="175"/>
      <c r="K30" s="1"/>
      <c r="L30" s="176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4">
        <v>28.0</v>
      </c>
      <c r="C31" s="93"/>
      <c r="D31" s="93"/>
      <c r="E31" s="93"/>
      <c r="F31" s="93"/>
      <c r="G31" s="93"/>
      <c r="H31" s="93"/>
      <c r="I31" s="93"/>
      <c r="J31" s="177"/>
      <c r="K31" s="1"/>
      <c r="L31" s="176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4">
        <v>29.0</v>
      </c>
      <c r="C32" s="76"/>
      <c r="D32" s="76"/>
      <c r="E32" s="76"/>
      <c r="F32" s="76"/>
      <c r="G32" s="76"/>
      <c r="H32" s="76"/>
      <c r="I32" s="76"/>
      <c r="J32" s="175"/>
      <c r="K32" s="1"/>
      <c r="L32" s="176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4">
        <v>30.0</v>
      </c>
      <c r="C33" s="93"/>
      <c r="D33" s="93"/>
      <c r="E33" s="93"/>
      <c r="F33" s="93"/>
      <c r="G33" s="93"/>
      <c r="H33" s="93"/>
      <c r="I33" s="93"/>
      <c r="J33" s="177"/>
      <c r="K33" s="1"/>
      <c r="L33" s="176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8" t="s">
        <v>345</v>
      </c>
      <c r="C34" s="73">
        <f t="shared" ref="C34:J34" si="2">SUM(C4:C33)</f>
        <v>0</v>
      </c>
      <c r="D34" s="73">
        <f t="shared" si="2"/>
        <v>0</v>
      </c>
      <c r="E34" s="73">
        <f t="shared" si="2"/>
        <v>0</v>
      </c>
      <c r="F34" s="73">
        <f t="shared" si="2"/>
        <v>0</v>
      </c>
      <c r="G34" s="73">
        <f t="shared" si="2"/>
        <v>0</v>
      </c>
      <c r="H34" s="73">
        <f t="shared" si="2"/>
        <v>0</v>
      </c>
      <c r="I34" s="73">
        <f t="shared" si="2"/>
        <v>0</v>
      </c>
      <c r="J34" s="179">
        <f t="shared" si="2"/>
        <v>0</v>
      </c>
      <c r="K34" s="1"/>
      <c r="L34" s="180">
        <f>SUM(L4:L33)</f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81" t="s">
        <v>346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58" t="s">
        <v>158</v>
      </c>
      <c r="C37" s="65">
        <f>C34</f>
        <v>0</v>
      </c>
      <c r="D37" s="92" t="s">
        <v>347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58" t="s">
        <v>164</v>
      </c>
      <c r="C38" s="65">
        <f>D34</f>
        <v>0</v>
      </c>
      <c r="D38" s="92" t="s">
        <v>348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58" t="s">
        <v>167</v>
      </c>
      <c r="C39" s="65">
        <f>E34</f>
        <v>0</v>
      </c>
      <c r="D39" s="92" t="s">
        <v>349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58" t="s">
        <v>169</v>
      </c>
      <c r="C40" s="65">
        <f>F34</f>
        <v>0</v>
      </c>
      <c r="D40" s="92" t="s">
        <v>350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58" t="s">
        <v>351</v>
      </c>
      <c r="C41" s="65">
        <f>G34</f>
        <v>0</v>
      </c>
      <c r="D41" s="92" t="s">
        <v>352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58" t="s">
        <v>174</v>
      </c>
      <c r="C42" s="65">
        <f>H34</f>
        <v>0</v>
      </c>
      <c r="D42" s="92" t="s">
        <v>353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58" t="s">
        <v>342</v>
      </c>
      <c r="C43" s="65">
        <f>I34</f>
        <v>0</v>
      </c>
      <c r="D43" s="92" t="s">
        <v>354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58" t="s">
        <v>355</v>
      </c>
      <c r="C44" s="182">
        <f>J34</f>
        <v>0</v>
      </c>
      <c r="D44" s="92" t="s">
        <v>356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4" t="s">
        <v>357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2" t="s">
        <v>341</v>
      </c>
      <c r="C3" s="102" t="s">
        <v>158</v>
      </c>
      <c r="D3" s="102" t="s">
        <v>164</v>
      </c>
      <c r="E3" s="102" t="s">
        <v>167</v>
      </c>
      <c r="F3" s="102" t="s">
        <v>169</v>
      </c>
      <c r="G3" s="102" t="s">
        <v>172</v>
      </c>
      <c r="H3" s="102" t="s">
        <v>174</v>
      </c>
      <c r="I3" s="102" t="s">
        <v>342</v>
      </c>
      <c r="J3" s="102" t="s">
        <v>343</v>
      </c>
      <c r="K3" s="102"/>
      <c r="L3" s="102" t="s">
        <v>344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4">
        <v>1.0</v>
      </c>
      <c r="C4" s="76"/>
      <c r="D4" s="76"/>
      <c r="E4" s="76"/>
      <c r="F4" s="76"/>
      <c r="G4" s="76"/>
      <c r="H4" s="76"/>
      <c r="I4" s="76"/>
      <c r="J4" s="175"/>
      <c r="K4" s="1"/>
      <c r="L4" s="176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4">
        <v>2.0</v>
      </c>
      <c r="C5" s="93"/>
      <c r="D5" s="93"/>
      <c r="E5" s="93"/>
      <c r="F5" s="93"/>
      <c r="G5" s="93"/>
      <c r="H5" s="93"/>
      <c r="I5" s="93"/>
      <c r="J5" s="177"/>
      <c r="K5" s="1"/>
      <c r="L5" s="176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4">
        <v>3.0</v>
      </c>
      <c r="C6" s="76"/>
      <c r="D6" s="76"/>
      <c r="E6" s="76"/>
      <c r="F6" s="76"/>
      <c r="G6" s="76"/>
      <c r="H6" s="76"/>
      <c r="I6" s="76"/>
      <c r="J6" s="175"/>
      <c r="K6" s="1"/>
      <c r="L6" s="176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4">
        <v>4.0</v>
      </c>
      <c r="C7" s="93"/>
      <c r="D7" s="93"/>
      <c r="E7" s="93"/>
      <c r="F7" s="93"/>
      <c r="G7" s="93"/>
      <c r="H7" s="93"/>
      <c r="I7" s="93"/>
      <c r="J7" s="177"/>
      <c r="K7" s="1"/>
      <c r="L7" s="176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4">
        <v>5.0</v>
      </c>
      <c r="C8" s="76"/>
      <c r="D8" s="76"/>
      <c r="E8" s="76"/>
      <c r="F8" s="76"/>
      <c r="G8" s="76"/>
      <c r="H8" s="76"/>
      <c r="I8" s="76"/>
      <c r="J8" s="175"/>
      <c r="K8" s="1"/>
      <c r="L8" s="176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4">
        <v>6.0</v>
      </c>
      <c r="C9" s="93"/>
      <c r="D9" s="93"/>
      <c r="E9" s="93"/>
      <c r="F9" s="93"/>
      <c r="G9" s="93"/>
      <c r="H9" s="93"/>
      <c r="I9" s="93"/>
      <c r="J9" s="177"/>
      <c r="K9" s="1"/>
      <c r="L9" s="176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4">
        <v>7.0</v>
      </c>
      <c r="C10" s="76"/>
      <c r="D10" s="76"/>
      <c r="E10" s="76"/>
      <c r="F10" s="76"/>
      <c r="G10" s="76"/>
      <c r="H10" s="76"/>
      <c r="I10" s="76"/>
      <c r="J10" s="175"/>
      <c r="K10" s="1"/>
      <c r="L10" s="176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4">
        <v>8.0</v>
      </c>
      <c r="C11" s="93"/>
      <c r="D11" s="93"/>
      <c r="E11" s="93"/>
      <c r="F11" s="93"/>
      <c r="G11" s="93"/>
      <c r="H11" s="93"/>
      <c r="I11" s="93"/>
      <c r="J11" s="177"/>
      <c r="K11" s="1"/>
      <c r="L11" s="176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4">
        <v>9.0</v>
      </c>
      <c r="C12" s="76"/>
      <c r="D12" s="76"/>
      <c r="E12" s="76"/>
      <c r="F12" s="76"/>
      <c r="G12" s="76"/>
      <c r="H12" s="76"/>
      <c r="I12" s="76"/>
      <c r="J12" s="175"/>
      <c r="K12" s="1"/>
      <c r="L12" s="176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4">
        <v>10.0</v>
      </c>
      <c r="C13" s="93"/>
      <c r="D13" s="93"/>
      <c r="E13" s="93"/>
      <c r="F13" s="93"/>
      <c r="G13" s="93"/>
      <c r="H13" s="93"/>
      <c r="I13" s="93"/>
      <c r="J13" s="177"/>
      <c r="K13" s="1"/>
      <c r="L13" s="176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4">
        <v>11.0</v>
      </c>
      <c r="C14" s="76"/>
      <c r="D14" s="76"/>
      <c r="E14" s="76"/>
      <c r="F14" s="76"/>
      <c r="G14" s="76"/>
      <c r="H14" s="76"/>
      <c r="I14" s="76"/>
      <c r="J14" s="175"/>
      <c r="K14" s="1"/>
      <c r="L14" s="176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4">
        <v>12.0</v>
      </c>
      <c r="C15" s="93"/>
      <c r="D15" s="93"/>
      <c r="E15" s="93"/>
      <c r="F15" s="93"/>
      <c r="G15" s="93"/>
      <c r="H15" s="93"/>
      <c r="I15" s="93"/>
      <c r="J15" s="177"/>
      <c r="K15" s="1"/>
      <c r="L15" s="176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4">
        <v>13.0</v>
      </c>
      <c r="C16" s="76"/>
      <c r="D16" s="76"/>
      <c r="E16" s="76"/>
      <c r="F16" s="76"/>
      <c r="G16" s="76"/>
      <c r="H16" s="76"/>
      <c r="I16" s="76"/>
      <c r="J16" s="175"/>
      <c r="K16" s="1"/>
      <c r="L16" s="176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4">
        <v>14.0</v>
      </c>
      <c r="C17" s="93"/>
      <c r="D17" s="93"/>
      <c r="E17" s="93"/>
      <c r="F17" s="93"/>
      <c r="G17" s="93"/>
      <c r="H17" s="93"/>
      <c r="I17" s="93"/>
      <c r="J17" s="177"/>
      <c r="K17" s="1"/>
      <c r="L17" s="176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4">
        <v>15.0</v>
      </c>
      <c r="C18" s="76"/>
      <c r="D18" s="76"/>
      <c r="E18" s="76"/>
      <c r="F18" s="76"/>
      <c r="G18" s="76"/>
      <c r="H18" s="76"/>
      <c r="I18" s="76"/>
      <c r="J18" s="175"/>
      <c r="K18" s="1"/>
      <c r="L18" s="176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4">
        <v>16.0</v>
      </c>
      <c r="C19" s="93"/>
      <c r="D19" s="93"/>
      <c r="E19" s="93"/>
      <c r="F19" s="93"/>
      <c r="G19" s="93"/>
      <c r="H19" s="93"/>
      <c r="I19" s="93"/>
      <c r="J19" s="177"/>
      <c r="K19" s="1"/>
      <c r="L19" s="176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4">
        <v>17.0</v>
      </c>
      <c r="C20" s="76"/>
      <c r="D20" s="76"/>
      <c r="E20" s="76"/>
      <c r="F20" s="76"/>
      <c r="G20" s="76"/>
      <c r="H20" s="76"/>
      <c r="I20" s="76"/>
      <c r="J20" s="175"/>
      <c r="K20" s="1"/>
      <c r="L20" s="176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4">
        <v>18.0</v>
      </c>
      <c r="C21" s="93"/>
      <c r="D21" s="93"/>
      <c r="E21" s="93"/>
      <c r="F21" s="93"/>
      <c r="G21" s="93"/>
      <c r="H21" s="93"/>
      <c r="I21" s="93"/>
      <c r="J21" s="177"/>
      <c r="K21" s="1"/>
      <c r="L21" s="176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4">
        <v>19.0</v>
      </c>
      <c r="C22" s="76"/>
      <c r="D22" s="76"/>
      <c r="E22" s="76"/>
      <c r="F22" s="76"/>
      <c r="G22" s="76"/>
      <c r="H22" s="76"/>
      <c r="I22" s="76"/>
      <c r="J22" s="175"/>
      <c r="K22" s="1"/>
      <c r="L22" s="176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4">
        <v>20.0</v>
      </c>
      <c r="C23" s="93"/>
      <c r="D23" s="93"/>
      <c r="E23" s="93"/>
      <c r="F23" s="93"/>
      <c r="G23" s="93"/>
      <c r="H23" s="93"/>
      <c r="I23" s="93"/>
      <c r="J23" s="177"/>
      <c r="K23" s="1"/>
      <c r="L23" s="176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4">
        <v>21.0</v>
      </c>
      <c r="C24" s="76"/>
      <c r="D24" s="76"/>
      <c r="E24" s="76"/>
      <c r="F24" s="76"/>
      <c r="G24" s="76"/>
      <c r="H24" s="76"/>
      <c r="I24" s="76"/>
      <c r="J24" s="175"/>
      <c r="K24" s="1"/>
      <c r="L24" s="176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4">
        <v>22.0</v>
      </c>
      <c r="C25" s="93"/>
      <c r="D25" s="93"/>
      <c r="E25" s="93"/>
      <c r="F25" s="93"/>
      <c r="G25" s="93"/>
      <c r="H25" s="93"/>
      <c r="I25" s="93"/>
      <c r="J25" s="177"/>
      <c r="K25" s="1"/>
      <c r="L25" s="176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4">
        <v>23.0</v>
      </c>
      <c r="C26" s="76"/>
      <c r="D26" s="76"/>
      <c r="E26" s="76"/>
      <c r="F26" s="76"/>
      <c r="G26" s="76"/>
      <c r="H26" s="76"/>
      <c r="I26" s="76"/>
      <c r="J26" s="175"/>
      <c r="K26" s="1"/>
      <c r="L26" s="176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4">
        <v>24.0</v>
      </c>
      <c r="C27" s="93"/>
      <c r="D27" s="93"/>
      <c r="E27" s="93"/>
      <c r="F27" s="93"/>
      <c r="G27" s="93"/>
      <c r="H27" s="93"/>
      <c r="I27" s="93"/>
      <c r="J27" s="177"/>
      <c r="K27" s="1"/>
      <c r="L27" s="176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4">
        <v>25.0</v>
      </c>
      <c r="C28" s="76"/>
      <c r="D28" s="76"/>
      <c r="E28" s="76"/>
      <c r="F28" s="76"/>
      <c r="G28" s="76"/>
      <c r="H28" s="76"/>
      <c r="I28" s="76"/>
      <c r="J28" s="175"/>
      <c r="K28" s="1"/>
      <c r="L28" s="176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4">
        <v>26.0</v>
      </c>
      <c r="C29" s="93"/>
      <c r="D29" s="93"/>
      <c r="E29" s="93"/>
      <c r="F29" s="93"/>
      <c r="G29" s="93"/>
      <c r="H29" s="93"/>
      <c r="I29" s="93"/>
      <c r="J29" s="177"/>
      <c r="K29" s="1"/>
      <c r="L29" s="176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4">
        <v>27.0</v>
      </c>
      <c r="C30" s="76"/>
      <c r="D30" s="76"/>
      <c r="E30" s="76"/>
      <c r="F30" s="76"/>
      <c r="G30" s="76"/>
      <c r="H30" s="76"/>
      <c r="I30" s="76"/>
      <c r="J30" s="175"/>
      <c r="K30" s="1"/>
      <c r="L30" s="176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4">
        <v>28.0</v>
      </c>
      <c r="C31" s="93"/>
      <c r="D31" s="93"/>
      <c r="E31" s="93"/>
      <c r="F31" s="93"/>
      <c r="G31" s="93"/>
      <c r="H31" s="93"/>
      <c r="I31" s="93"/>
      <c r="J31" s="177"/>
      <c r="K31" s="1"/>
      <c r="L31" s="176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4">
        <v>29.0</v>
      </c>
      <c r="C32" s="76"/>
      <c r="D32" s="76"/>
      <c r="E32" s="76"/>
      <c r="F32" s="76"/>
      <c r="G32" s="76"/>
      <c r="H32" s="76"/>
      <c r="I32" s="76"/>
      <c r="J32" s="175"/>
      <c r="K32" s="1"/>
      <c r="L32" s="176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4">
        <v>30.0</v>
      </c>
      <c r="C33" s="93"/>
      <c r="D33" s="93"/>
      <c r="E33" s="93"/>
      <c r="F33" s="93"/>
      <c r="G33" s="93"/>
      <c r="H33" s="93"/>
      <c r="I33" s="93"/>
      <c r="J33" s="177"/>
      <c r="K33" s="1"/>
      <c r="L33" s="176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4">
        <v>31.0</v>
      </c>
      <c r="C34" s="76"/>
      <c r="D34" s="76"/>
      <c r="E34" s="76"/>
      <c r="F34" s="76"/>
      <c r="G34" s="76"/>
      <c r="H34" s="76"/>
      <c r="I34" s="76"/>
      <c r="J34" s="175"/>
      <c r="K34" s="1"/>
      <c r="L34" s="176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78" t="s">
        <v>345</v>
      </c>
      <c r="C35" s="73">
        <f t="shared" ref="C35:J35" si="2">SUM(C4:C34)</f>
        <v>0</v>
      </c>
      <c r="D35" s="73">
        <f t="shared" si="2"/>
        <v>0</v>
      </c>
      <c r="E35" s="73">
        <f t="shared" si="2"/>
        <v>0</v>
      </c>
      <c r="F35" s="73">
        <f t="shared" si="2"/>
        <v>0</v>
      </c>
      <c r="G35" s="73">
        <f t="shared" si="2"/>
        <v>0</v>
      </c>
      <c r="H35" s="73">
        <f t="shared" si="2"/>
        <v>0</v>
      </c>
      <c r="I35" s="73">
        <f t="shared" si="2"/>
        <v>0</v>
      </c>
      <c r="J35" s="179">
        <f t="shared" si="2"/>
        <v>0</v>
      </c>
      <c r="K35" s="1"/>
      <c r="L35" s="180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1" t="s">
        <v>346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58" t="s">
        <v>158</v>
      </c>
      <c r="C38" s="65">
        <f>C35</f>
        <v>0</v>
      </c>
      <c r="D38" s="92" t="s">
        <v>358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58" t="s">
        <v>164</v>
      </c>
      <c r="C39" s="65">
        <f>D35</f>
        <v>0</v>
      </c>
      <c r="D39" s="92" t="s">
        <v>359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58" t="s">
        <v>167</v>
      </c>
      <c r="C40" s="65">
        <f>E35</f>
        <v>0</v>
      </c>
      <c r="D40" s="92" t="s">
        <v>360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58" t="s">
        <v>169</v>
      </c>
      <c r="C41" s="65">
        <f>F35</f>
        <v>0</v>
      </c>
      <c r="D41" s="92" t="s">
        <v>361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58" t="s">
        <v>351</v>
      </c>
      <c r="C42" s="65">
        <f>G35</f>
        <v>0</v>
      </c>
      <c r="D42" s="92" t="s">
        <v>362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58" t="s">
        <v>174</v>
      </c>
      <c r="C43" s="65">
        <f>H35</f>
        <v>0</v>
      </c>
      <c r="D43" s="92" t="s">
        <v>363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58" t="s">
        <v>342</v>
      </c>
      <c r="C44" s="65">
        <f>I35</f>
        <v>0</v>
      </c>
      <c r="D44" s="92" t="s">
        <v>364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58" t="s">
        <v>355</v>
      </c>
      <c r="C45" s="182">
        <f>J35</f>
        <v>0</v>
      </c>
      <c r="D45" s="92" t="s">
        <v>365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4" t="s">
        <v>366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2" t="s">
        <v>341</v>
      </c>
      <c r="C3" s="102" t="s">
        <v>158</v>
      </c>
      <c r="D3" s="102" t="s">
        <v>164</v>
      </c>
      <c r="E3" s="102" t="s">
        <v>167</v>
      </c>
      <c r="F3" s="102" t="s">
        <v>169</v>
      </c>
      <c r="G3" s="102" t="s">
        <v>172</v>
      </c>
      <c r="H3" s="102" t="s">
        <v>174</v>
      </c>
      <c r="I3" s="102" t="s">
        <v>342</v>
      </c>
      <c r="J3" s="102" t="s">
        <v>343</v>
      </c>
      <c r="K3" s="102"/>
      <c r="L3" s="102" t="s">
        <v>344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4">
        <v>1.0</v>
      </c>
      <c r="C4" s="76"/>
      <c r="D4" s="76"/>
      <c r="E4" s="76"/>
      <c r="F4" s="76"/>
      <c r="G4" s="76"/>
      <c r="H4" s="76"/>
      <c r="I4" s="76"/>
      <c r="J4" s="175"/>
      <c r="K4" s="1"/>
      <c r="L4" s="176">
        <f t="shared" ref="L4:L33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4">
        <v>2.0</v>
      </c>
      <c r="C5" s="93"/>
      <c r="D5" s="93"/>
      <c r="E5" s="93"/>
      <c r="F5" s="93"/>
      <c r="G5" s="93"/>
      <c r="H5" s="93"/>
      <c r="I5" s="93"/>
      <c r="J5" s="177"/>
      <c r="K5" s="1"/>
      <c r="L5" s="176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4">
        <v>3.0</v>
      </c>
      <c r="C6" s="76"/>
      <c r="D6" s="76"/>
      <c r="E6" s="76"/>
      <c r="F6" s="76"/>
      <c r="G6" s="76"/>
      <c r="H6" s="76"/>
      <c r="I6" s="76"/>
      <c r="J6" s="175"/>
      <c r="K6" s="1"/>
      <c r="L6" s="176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4">
        <v>4.0</v>
      </c>
      <c r="C7" s="93"/>
      <c r="D7" s="93"/>
      <c r="E7" s="93"/>
      <c r="F7" s="93"/>
      <c r="G7" s="93"/>
      <c r="H7" s="93"/>
      <c r="I7" s="93"/>
      <c r="J7" s="177"/>
      <c r="K7" s="1"/>
      <c r="L7" s="176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4">
        <v>5.0</v>
      </c>
      <c r="C8" s="76"/>
      <c r="D8" s="76"/>
      <c r="E8" s="76"/>
      <c r="F8" s="76"/>
      <c r="G8" s="76"/>
      <c r="H8" s="76"/>
      <c r="I8" s="76"/>
      <c r="J8" s="175"/>
      <c r="K8" s="1"/>
      <c r="L8" s="176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4">
        <v>6.0</v>
      </c>
      <c r="C9" s="93"/>
      <c r="D9" s="93"/>
      <c r="E9" s="93"/>
      <c r="F9" s="93"/>
      <c r="G9" s="93"/>
      <c r="H9" s="93"/>
      <c r="I9" s="93"/>
      <c r="J9" s="177"/>
      <c r="K9" s="1"/>
      <c r="L9" s="176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4">
        <v>7.0</v>
      </c>
      <c r="C10" s="76"/>
      <c r="D10" s="76"/>
      <c r="E10" s="76"/>
      <c r="F10" s="76"/>
      <c r="G10" s="76"/>
      <c r="H10" s="76"/>
      <c r="I10" s="76"/>
      <c r="J10" s="175"/>
      <c r="K10" s="1"/>
      <c r="L10" s="176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4">
        <v>8.0</v>
      </c>
      <c r="C11" s="93"/>
      <c r="D11" s="93"/>
      <c r="E11" s="93"/>
      <c r="F11" s="93"/>
      <c r="G11" s="93"/>
      <c r="H11" s="93"/>
      <c r="I11" s="93"/>
      <c r="J11" s="177"/>
      <c r="K11" s="1"/>
      <c r="L11" s="176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4">
        <v>9.0</v>
      </c>
      <c r="C12" s="76"/>
      <c r="D12" s="76"/>
      <c r="E12" s="76"/>
      <c r="F12" s="76"/>
      <c r="G12" s="76"/>
      <c r="H12" s="76"/>
      <c r="I12" s="76"/>
      <c r="J12" s="175"/>
      <c r="K12" s="1"/>
      <c r="L12" s="176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4">
        <v>10.0</v>
      </c>
      <c r="C13" s="93"/>
      <c r="D13" s="93"/>
      <c r="E13" s="93"/>
      <c r="F13" s="93"/>
      <c r="G13" s="93"/>
      <c r="H13" s="93"/>
      <c r="I13" s="93"/>
      <c r="J13" s="177"/>
      <c r="K13" s="1"/>
      <c r="L13" s="176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4">
        <v>11.0</v>
      </c>
      <c r="C14" s="76"/>
      <c r="D14" s="76"/>
      <c r="E14" s="76"/>
      <c r="F14" s="76"/>
      <c r="G14" s="76"/>
      <c r="H14" s="76"/>
      <c r="I14" s="76"/>
      <c r="J14" s="175"/>
      <c r="K14" s="1"/>
      <c r="L14" s="176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4">
        <v>12.0</v>
      </c>
      <c r="C15" s="93"/>
      <c r="D15" s="93"/>
      <c r="E15" s="93"/>
      <c r="F15" s="93"/>
      <c r="G15" s="93"/>
      <c r="H15" s="93"/>
      <c r="I15" s="93"/>
      <c r="J15" s="177"/>
      <c r="K15" s="1"/>
      <c r="L15" s="176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4">
        <v>13.0</v>
      </c>
      <c r="C16" s="76"/>
      <c r="D16" s="76"/>
      <c r="E16" s="76"/>
      <c r="F16" s="76"/>
      <c r="G16" s="76"/>
      <c r="H16" s="76"/>
      <c r="I16" s="76"/>
      <c r="J16" s="175"/>
      <c r="K16" s="1"/>
      <c r="L16" s="176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4">
        <v>14.0</v>
      </c>
      <c r="C17" s="93"/>
      <c r="D17" s="93"/>
      <c r="E17" s="93"/>
      <c r="F17" s="93"/>
      <c r="G17" s="93"/>
      <c r="H17" s="93"/>
      <c r="I17" s="93"/>
      <c r="J17" s="177"/>
      <c r="K17" s="1"/>
      <c r="L17" s="176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4">
        <v>15.0</v>
      </c>
      <c r="C18" s="76"/>
      <c r="D18" s="76"/>
      <c r="E18" s="76"/>
      <c r="F18" s="76"/>
      <c r="G18" s="76"/>
      <c r="H18" s="76"/>
      <c r="I18" s="76"/>
      <c r="J18" s="175"/>
      <c r="K18" s="1"/>
      <c r="L18" s="176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4">
        <v>16.0</v>
      </c>
      <c r="C19" s="93"/>
      <c r="D19" s="93"/>
      <c r="E19" s="93"/>
      <c r="F19" s="93"/>
      <c r="G19" s="93"/>
      <c r="H19" s="93"/>
      <c r="I19" s="93"/>
      <c r="J19" s="177"/>
      <c r="K19" s="1"/>
      <c r="L19" s="176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4">
        <v>17.0</v>
      </c>
      <c r="C20" s="76"/>
      <c r="D20" s="76"/>
      <c r="E20" s="76"/>
      <c r="F20" s="76"/>
      <c r="G20" s="76"/>
      <c r="H20" s="76"/>
      <c r="I20" s="76"/>
      <c r="J20" s="175"/>
      <c r="K20" s="1"/>
      <c r="L20" s="176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4">
        <v>18.0</v>
      </c>
      <c r="C21" s="93"/>
      <c r="D21" s="93"/>
      <c r="E21" s="93"/>
      <c r="F21" s="93"/>
      <c r="G21" s="93"/>
      <c r="H21" s="93"/>
      <c r="I21" s="93"/>
      <c r="J21" s="177"/>
      <c r="K21" s="1"/>
      <c r="L21" s="176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4">
        <v>19.0</v>
      </c>
      <c r="C22" s="76"/>
      <c r="D22" s="76"/>
      <c r="E22" s="76"/>
      <c r="F22" s="76"/>
      <c r="G22" s="76"/>
      <c r="H22" s="76"/>
      <c r="I22" s="76"/>
      <c r="J22" s="175"/>
      <c r="K22" s="1"/>
      <c r="L22" s="176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4">
        <v>20.0</v>
      </c>
      <c r="C23" s="93"/>
      <c r="D23" s="93"/>
      <c r="E23" s="93"/>
      <c r="F23" s="93"/>
      <c r="G23" s="93"/>
      <c r="H23" s="93"/>
      <c r="I23" s="93"/>
      <c r="J23" s="177"/>
      <c r="K23" s="1"/>
      <c r="L23" s="176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4">
        <v>21.0</v>
      </c>
      <c r="C24" s="76"/>
      <c r="D24" s="76"/>
      <c r="E24" s="76"/>
      <c r="F24" s="76"/>
      <c r="G24" s="76"/>
      <c r="H24" s="76"/>
      <c r="I24" s="76"/>
      <c r="J24" s="175"/>
      <c r="K24" s="1"/>
      <c r="L24" s="176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4">
        <v>22.0</v>
      </c>
      <c r="C25" s="93"/>
      <c r="D25" s="93"/>
      <c r="E25" s="93"/>
      <c r="F25" s="93"/>
      <c r="G25" s="93"/>
      <c r="H25" s="93"/>
      <c r="I25" s="93"/>
      <c r="J25" s="177"/>
      <c r="K25" s="1"/>
      <c r="L25" s="176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4">
        <v>23.0</v>
      </c>
      <c r="C26" s="76"/>
      <c r="D26" s="76"/>
      <c r="E26" s="76"/>
      <c r="F26" s="76"/>
      <c r="G26" s="76"/>
      <c r="H26" s="76"/>
      <c r="I26" s="76"/>
      <c r="J26" s="175"/>
      <c r="K26" s="1"/>
      <c r="L26" s="176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4">
        <v>24.0</v>
      </c>
      <c r="C27" s="93"/>
      <c r="D27" s="93"/>
      <c r="E27" s="93"/>
      <c r="F27" s="93"/>
      <c r="G27" s="93"/>
      <c r="H27" s="93"/>
      <c r="I27" s="93"/>
      <c r="J27" s="177"/>
      <c r="K27" s="1"/>
      <c r="L27" s="176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4">
        <v>25.0</v>
      </c>
      <c r="C28" s="76"/>
      <c r="D28" s="76"/>
      <c r="E28" s="76"/>
      <c r="F28" s="76"/>
      <c r="G28" s="76"/>
      <c r="H28" s="76"/>
      <c r="I28" s="76"/>
      <c r="J28" s="175"/>
      <c r="K28" s="1"/>
      <c r="L28" s="176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4">
        <v>26.0</v>
      </c>
      <c r="C29" s="93"/>
      <c r="D29" s="93"/>
      <c r="E29" s="93"/>
      <c r="F29" s="93"/>
      <c r="G29" s="93"/>
      <c r="H29" s="93"/>
      <c r="I29" s="93"/>
      <c r="J29" s="177"/>
      <c r="K29" s="1"/>
      <c r="L29" s="176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4">
        <v>27.0</v>
      </c>
      <c r="C30" s="76"/>
      <c r="D30" s="76"/>
      <c r="E30" s="76"/>
      <c r="F30" s="76"/>
      <c r="G30" s="76"/>
      <c r="H30" s="76"/>
      <c r="I30" s="76"/>
      <c r="J30" s="175"/>
      <c r="K30" s="1"/>
      <c r="L30" s="176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4">
        <v>28.0</v>
      </c>
      <c r="C31" s="93"/>
      <c r="D31" s="93"/>
      <c r="E31" s="93"/>
      <c r="F31" s="93"/>
      <c r="G31" s="93"/>
      <c r="H31" s="93"/>
      <c r="I31" s="93"/>
      <c r="J31" s="177"/>
      <c r="K31" s="1"/>
      <c r="L31" s="176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4">
        <v>29.0</v>
      </c>
      <c r="C32" s="76"/>
      <c r="D32" s="76"/>
      <c r="E32" s="76"/>
      <c r="F32" s="76"/>
      <c r="G32" s="76"/>
      <c r="H32" s="76"/>
      <c r="I32" s="76"/>
      <c r="J32" s="175"/>
      <c r="K32" s="1"/>
      <c r="L32" s="176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4">
        <v>30.0</v>
      </c>
      <c r="C33" s="93"/>
      <c r="D33" s="93"/>
      <c r="E33" s="93"/>
      <c r="F33" s="93"/>
      <c r="G33" s="93"/>
      <c r="H33" s="93"/>
      <c r="I33" s="93"/>
      <c r="J33" s="177"/>
      <c r="K33" s="1"/>
      <c r="L33" s="176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8" t="s">
        <v>345</v>
      </c>
      <c r="C34" s="73">
        <f t="shared" ref="C34:J34" si="2">SUM(C4:C33)</f>
        <v>0</v>
      </c>
      <c r="D34" s="73">
        <f t="shared" si="2"/>
        <v>0</v>
      </c>
      <c r="E34" s="73">
        <f t="shared" si="2"/>
        <v>0</v>
      </c>
      <c r="F34" s="73">
        <f t="shared" si="2"/>
        <v>0</v>
      </c>
      <c r="G34" s="73">
        <f t="shared" si="2"/>
        <v>0</v>
      </c>
      <c r="H34" s="73">
        <f t="shared" si="2"/>
        <v>0</v>
      </c>
      <c r="I34" s="73">
        <f t="shared" si="2"/>
        <v>0</v>
      </c>
      <c r="J34" s="179">
        <f t="shared" si="2"/>
        <v>0</v>
      </c>
      <c r="K34" s="1"/>
      <c r="L34" s="180">
        <f>SUM(L4:L33)</f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81" t="s">
        <v>346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58" t="s">
        <v>158</v>
      </c>
      <c r="C37" s="65">
        <f>C34</f>
        <v>0</v>
      </c>
      <c r="D37" s="92" t="s">
        <v>367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58" t="s">
        <v>164</v>
      </c>
      <c r="C38" s="65">
        <f>D34</f>
        <v>0</v>
      </c>
      <c r="D38" s="92" t="s">
        <v>368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58" t="s">
        <v>167</v>
      </c>
      <c r="C39" s="65">
        <f>E34</f>
        <v>0</v>
      </c>
      <c r="D39" s="92" t="s">
        <v>369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58" t="s">
        <v>169</v>
      </c>
      <c r="C40" s="65">
        <f>F34</f>
        <v>0</v>
      </c>
      <c r="D40" s="92" t="s">
        <v>370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58" t="s">
        <v>351</v>
      </c>
      <c r="C41" s="65">
        <f>G34</f>
        <v>0</v>
      </c>
      <c r="D41" s="92" t="s">
        <v>371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58" t="s">
        <v>174</v>
      </c>
      <c r="C42" s="65">
        <f>H34</f>
        <v>0</v>
      </c>
      <c r="D42" s="92" t="s">
        <v>372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58" t="s">
        <v>342</v>
      </c>
      <c r="C43" s="65">
        <f>I34</f>
        <v>0</v>
      </c>
      <c r="D43" s="92" t="s">
        <v>373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58" t="s">
        <v>355</v>
      </c>
      <c r="C44" s="182">
        <f>J34</f>
        <v>0</v>
      </c>
      <c r="D44" s="92" t="s">
        <v>374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4" t="s">
        <v>375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2" t="s">
        <v>341</v>
      </c>
      <c r="C3" s="102" t="s">
        <v>158</v>
      </c>
      <c r="D3" s="102" t="s">
        <v>164</v>
      </c>
      <c r="E3" s="102" t="s">
        <v>167</v>
      </c>
      <c r="F3" s="102" t="s">
        <v>169</v>
      </c>
      <c r="G3" s="102" t="s">
        <v>172</v>
      </c>
      <c r="H3" s="102" t="s">
        <v>174</v>
      </c>
      <c r="I3" s="102" t="s">
        <v>342</v>
      </c>
      <c r="J3" s="102" t="s">
        <v>343</v>
      </c>
      <c r="K3" s="102"/>
      <c r="L3" s="102" t="s">
        <v>344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4">
        <v>1.0</v>
      </c>
      <c r="C4" s="76"/>
      <c r="D4" s="76"/>
      <c r="E4" s="76"/>
      <c r="F4" s="76"/>
      <c r="G4" s="76"/>
      <c r="H4" s="76"/>
      <c r="I4" s="76"/>
      <c r="J4" s="175"/>
      <c r="K4" s="1"/>
      <c r="L4" s="176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4">
        <v>2.0</v>
      </c>
      <c r="C5" s="93"/>
      <c r="D5" s="93"/>
      <c r="E5" s="93"/>
      <c r="F5" s="93"/>
      <c r="G5" s="93"/>
      <c r="H5" s="93"/>
      <c r="I5" s="93"/>
      <c r="J5" s="177"/>
      <c r="K5" s="1"/>
      <c r="L5" s="176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4">
        <v>3.0</v>
      </c>
      <c r="C6" s="76"/>
      <c r="D6" s="76"/>
      <c r="E6" s="76"/>
      <c r="F6" s="76"/>
      <c r="G6" s="76"/>
      <c r="H6" s="76"/>
      <c r="I6" s="76"/>
      <c r="J6" s="175"/>
      <c r="K6" s="1"/>
      <c r="L6" s="176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4">
        <v>4.0</v>
      </c>
      <c r="C7" s="93"/>
      <c r="D7" s="93"/>
      <c r="E7" s="93"/>
      <c r="F7" s="93"/>
      <c r="G7" s="93"/>
      <c r="H7" s="93"/>
      <c r="I7" s="93"/>
      <c r="J7" s="177"/>
      <c r="K7" s="1"/>
      <c r="L7" s="176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4">
        <v>5.0</v>
      </c>
      <c r="C8" s="76"/>
      <c r="D8" s="76"/>
      <c r="E8" s="76"/>
      <c r="F8" s="76"/>
      <c r="G8" s="76"/>
      <c r="H8" s="76"/>
      <c r="I8" s="76"/>
      <c r="J8" s="175"/>
      <c r="K8" s="1"/>
      <c r="L8" s="176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4">
        <v>6.0</v>
      </c>
      <c r="C9" s="93"/>
      <c r="D9" s="93"/>
      <c r="E9" s="93"/>
      <c r="F9" s="93"/>
      <c r="G9" s="93"/>
      <c r="H9" s="93"/>
      <c r="I9" s="93"/>
      <c r="J9" s="177"/>
      <c r="K9" s="1"/>
      <c r="L9" s="176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4">
        <v>7.0</v>
      </c>
      <c r="C10" s="76"/>
      <c r="D10" s="76"/>
      <c r="E10" s="76"/>
      <c r="F10" s="76"/>
      <c r="G10" s="76"/>
      <c r="H10" s="76"/>
      <c r="I10" s="76"/>
      <c r="J10" s="175"/>
      <c r="K10" s="1"/>
      <c r="L10" s="176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4">
        <v>8.0</v>
      </c>
      <c r="C11" s="93"/>
      <c r="D11" s="93"/>
      <c r="E11" s="93"/>
      <c r="F11" s="93"/>
      <c r="G11" s="93"/>
      <c r="H11" s="93"/>
      <c r="I11" s="93"/>
      <c r="J11" s="177"/>
      <c r="K11" s="1"/>
      <c r="L11" s="176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4">
        <v>9.0</v>
      </c>
      <c r="C12" s="76"/>
      <c r="D12" s="76"/>
      <c r="E12" s="76"/>
      <c r="F12" s="76"/>
      <c r="G12" s="76"/>
      <c r="H12" s="76"/>
      <c r="I12" s="76"/>
      <c r="J12" s="175"/>
      <c r="K12" s="1"/>
      <c r="L12" s="176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4">
        <v>10.0</v>
      </c>
      <c r="C13" s="93"/>
      <c r="D13" s="93"/>
      <c r="E13" s="93"/>
      <c r="F13" s="93"/>
      <c r="G13" s="93"/>
      <c r="H13" s="93"/>
      <c r="I13" s="93"/>
      <c r="J13" s="177"/>
      <c r="K13" s="1"/>
      <c r="L13" s="176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4">
        <v>11.0</v>
      </c>
      <c r="C14" s="76"/>
      <c r="D14" s="76"/>
      <c r="E14" s="76"/>
      <c r="F14" s="76"/>
      <c r="G14" s="76"/>
      <c r="H14" s="76"/>
      <c r="I14" s="76"/>
      <c r="J14" s="175"/>
      <c r="K14" s="1"/>
      <c r="L14" s="176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4">
        <v>12.0</v>
      </c>
      <c r="C15" s="93"/>
      <c r="D15" s="93"/>
      <c r="E15" s="93"/>
      <c r="F15" s="93"/>
      <c r="G15" s="93"/>
      <c r="H15" s="93"/>
      <c r="I15" s="93"/>
      <c r="J15" s="177"/>
      <c r="K15" s="1"/>
      <c r="L15" s="176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4">
        <v>13.0</v>
      </c>
      <c r="C16" s="76"/>
      <c r="D16" s="76"/>
      <c r="E16" s="76"/>
      <c r="F16" s="76"/>
      <c r="G16" s="76"/>
      <c r="H16" s="76"/>
      <c r="I16" s="76"/>
      <c r="J16" s="175"/>
      <c r="K16" s="1"/>
      <c r="L16" s="176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4">
        <v>14.0</v>
      </c>
      <c r="C17" s="93"/>
      <c r="D17" s="93"/>
      <c r="E17" s="93"/>
      <c r="F17" s="93"/>
      <c r="G17" s="93"/>
      <c r="H17" s="93"/>
      <c r="I17" s="93"/>
      <c r="J17" s="177"/>
      <c r="K17" s="1"/>
      <c r="L17" s="176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4">
        <v>15.0</v>
      </c>
      <c r="C18" s="76"/>
      <c r="D18" s="76"/>
      <c r="E18" s="76"/>
      <c r="F18" s="76"/>
      <c r="G18" s="76"/>
      <c r="H18" s="76"/>
      <c r="I18" s="76"/>
      <c r="J18" s="175"/>
      <c r="K18" s="1"/>
      <c r="L18" s="176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4">
        <v>16.0</v>
      </c>
      <c r="C19" s="93"/>
      <c r="D19" s="93"/>
      <c r="E19" s="93"/>
      <c r="F19" s="93"/>
      <c r="G19" s="93"/>
      <c r="H19" s="93"/>
      <c r="I19" s="93"/>
      <c r="J19" s="177"/>
      <c r="K19" s="1"/>
      <c r="L19" s="176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4">
        <v>17.0</v>
      </c>
      <c r="C20" s="76"/>
      <c r="D20" s="76"/>
      <c r="E20" s="76"/>
      <c r="F20" s="76"/>
      <c r="G20" s="76"/>
      <c r="H20" s="76"/>
      <c r="I20" s="76"/>
      <c r="J20" s="175"/>
      <c r="K20" s="1"/>
      <c r="L20" s="176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4">
        <v>18.0</v>
      </c>
      <c r="C21" s="93"/>
      <c r="D21" s="93"/>
      <c r="E21" s="93"/>
      <c r="F21" s="93"/>
      <c r="G21" s="93"/>
      <c r="H21" s="93"/>
      <c r="I21" s="93"/>
      <c r="J21" s="177"/>
      <c r="K21" s="1"/>
      <c r="L21" s="176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4">
        <v>19.0</v>
      </c>
      <c r="C22" s="76"/>
      <c r="D22" s="76"/>
      <c r="E22" s="76"/>
      <c r="F22" s="76"/>
      <c r="G22" s="76"/>
      <c r="H22" s="76"/>
      <c r="I22" s="76"/>
      <c r="J22" s="175"/>
      <c r="K22" s="1"/>
      <c r="L22" s="176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4">
        <v>20.0</v>
      </c>
      <c r="C23" s="93"/>
      <c r="D23" s="93"/>
      <c r="E23" s="93"/>
      <c r="F23" s="93"/>
      <c r="G23" s="93"/>
      <c r="H23" s="93"/>
      <c r="I23" s="93"/>
      <c r="J23" s="177"/>
      <c r="K23" s="1"/>
      <c r="L23" s="176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4">
        <v>21.0</v>
      </c>
      <c r="C24" s="76"/>
      <c r="D24" s="76"/>
      <c r="E24" s="76"/>
      <c r="F24" s="76"/>
      <c r="G24" s="76"/>
      <c r="H24" s="76"/>
      <c r="I24" s="76"/>
      <c r="J24" s="175"/>
      <c r="K24" s="1"/>
      <c r="L24" s="176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4">
        <v>22.0</v>
      </c>
      <c r="C25" s="93"/>
      <c r="D25" s="93"/>
      <c r="E25" s="93"/>
      <c r="F25" s="93"/>
      <c r="G25" s="93"/>
      <c r="H25" s="93"/>
      <c r="I25" s="93"/>
      <c r="J25" s="177"/>
      <c r="K25" s="1"/>
      <c r="L25" s="176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4">
        <v>23.0</v>
      </c>
      <c r="C26" s="76"/>
      <c r="D26" s="76"/>
      <c r="E26" s="76"/>
      <c r="F26" s="76"/>
      <c r="G26" s="76"/>
      <c r="H26" s="76"/>
      <c r="I26" s="76"/>
      <c r="J26" s="175"/>
      <c r="K26" s="1"/>
      <c r="L26" s="176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4">
        <v>24.0</v>
      </c>
      <c r="C27" s="93"/>
      <c r="D27" s="93"/>
      <c r="E27" s="93"/>
      <c r="F27" s="93"/>
      <c r="G27" s="93"/>
      <c r="H27" s="93"/>
      <c r="I27" s="93"/>
      <c r="J27" s="177"/>
      <c r="K27" s="1"/>
      <c r="L27" s="176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4">
        <v>25.0</v>
      </c>
      <c r="C28" s="76"/>
      <c r="D28" s="76"/>
      <c r="E28" s="76"/>
      <c r="F28" s="76"/>
      <c r="G28" s="76"/>
      <c r="H28" s="76"/>
      <c r="I28" s="76"/>
      <c r="J28" s="175"/>
      <c r="K28" s="1"/>
      <c r="L28" s="176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4">
        <v>26.0</v>
      </c>
      <c r="C29" s="93"/>
      <c r="D29" s="93"/>
      <c r="E29" s="93"/>
      <c r="F29" s="93"/>
      <c r="G29" s="93"/>
      <c r="H29" s="93"/>
      <c r="I29" s="93"/>
      <c r="J29" s="177"/>
      <c r="K29" s="1"/>
      <c r="L29" s="176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4">
        <v>27.0</v>
      </c>
      <c r="C30" s="76"/>
      <c r="D30" s="76"/>
      <c r="E30" s="76"/>
      <c r="F30" s="76"/>
      <c r="G30" s="76"/>
      <c r="H30" s="76"/>
      <c r="I30" s="76"/>
      <c r="J30" s="175"/>
      <c r="K30" s="1"/>
      <c r="L30" s="176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4">
        <v>28.0</v>
      </c>
      <c r="C31" s="93"/>
      <c r="D31" s="93"/>
      <c r="E31" s="93"/>
      <c r="F31" s="93"/>
      <c r="G31" s="93"/>
      <c r="H31" s="93"/>
      <c r="I31" s="93"/>
      <c r="J31" s="177"/>
      <c r="K31" s="1"/>
      <c r="L31" s="176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4">
        <v>29.0</v>
      </c>
      <c r="C32" s="76"/>
      <c r="D32" s="76"/>
      <c r="E32" s="76"/>
      <c r="F32" s="76"/>
      <c r="G32" s="76"/>
      <c r="H32" s="76"/>
      <c r="I32" s="76"/>
      <c r="J32" s="175"/>
      <c r="K32" s="1"/>
      <c r="L32" s="176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4">
        <v>30.0</v>
      </c>
      <c r="C33" s="93"/>
      <c r="D33" s="93"/>
      <c r="E33" s="93"/>
      <c r="F33" s="93"/>
      <c r="G33" s="93"/>
      <c r="H33" s="93"/>
      <c r="I33" s="93"/>
      <c r="J33" s="177"/>
      <c r="K33" s="1"/>
      <c r="L33" s="176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4">
        <v>31.0</v>
      </c>
      <c r="C34" s="76"/>
      <c r="D34" s="76"/>
      <c r="E34" s="76"/>
      <c r="F34" s="76"/>
      <c r="G34" s="76"/>
      <c r="H34" s="76"/>
      <c r="I34" s="76"/>
      <c r="J34" s="175"/>
      <c r="K34" s="1"/>
      <c r="L34" s="176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78" t="s">
        <v>345</v>
      </c>
      <c r="C35" s="73">
        <f t="shared" ref="C35:J35" si="2">SUM(C4:C34)</f>
        <v>0</v>
      </c>
      <c r="D35" s="73">
        <f t="shared" si="2"/>
        <v>0</v>
      </c>
      <c r="E35" s="73">
        <f t="shared" si="2"/>
        <v>0</v>
      </c>
      <c r="F35" s="73">
        <f t="shared" si="2"/>
        <v>0</v>
      </c>
      <c r="G35" s="73">
        <f t="shared" si="2"/>
        <v>0</v>
      </c>
      <c r="H35" s="73">
        <f t="shared" si="2"/>
        <v>0</v>
      </c>
      <c r="I35" s="73">
        <f t="shared" si="2"/>
        <v>0</v>
      </c>
      <c r="J35" s="179">
        <f t="shared" si="2"/>
        <v>0</v>
      </c>
      <c r="K35" s="1"/>
      <c r="L35" s="180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1" t="s">
        <v>346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58" t="s">
        <v>158</v>
      </c>
      <c r="C38" s="65">
        <f>C35</f>
        <v>0</v>
      </c>
      <c r="D38" s="92" t="s">
        <v>376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58" t="s">
        <v>164</v>
      </c>
      <c r="C39" s="65">
        <f>D35</f>
        <v>0</v>
      </c>
      <c r="D39" s="92" t="s">
        <v>377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58" t="s">
        <v>167</v>
      </c>
      <c r="C40" s="65">
        <f>E35</f>
        <v>0</v>
      </c>
      <c r="D40" s="92" t="s">
        <v>378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58" t="s">
        <v>169</v>
      </c>
      <c r="C41" s="65">
        <f>F35</f>
        <v>0</v>
      </c>
      <c r="D41" s="92" t="s">
        <v>379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58" t="s">
        <v>351</v>
      </c>
      <c r="C42" s="65">
        <f>G35</f>
        <v>0</v>
      </c>
      <c r="D42" s="92" t="s">
        <v>380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58" t="s">
        <v>174</v>
      </c>
      <c r="C43" s="65">
        <f>H35</f>
        <v>0</v>
      </c>
      <c r="D43" s="92" t="s">
        <v>381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58" t="s">
        <v>342</v>
      </c>
      <c r="C44" s="65">
        <f>I35</f>
        <v>0</v>
      </c>
      <c r="D44" s="92" t="s">
        <v>382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58" t="s">
        <v>355</v>
      </c>
      <c r="C45" s="182">
        <f>J35</f>
        <v>0</v>
      </c>
      <c r="D45" s="92" t="s">
        <v>383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4" t="s">
        <v>384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2" t="s">
        <v>341</v>
      </c>
      <c r="C3" s="102" t="s">
        <v>158</v>
      </c>
      <c r="D3" s="102" t="s">
        <v>164</v>
      </c>
      <c r="E3" s="102" t="s">
        <v>167</v>
      </c>
      <c r="F3" s="102" t="s">
        <v>169</v>
      </c>
      <c r="G3" s="102" t="s">
        <v>172</v>
      </c>
      <c r="H3" s="102" t="s">
        <v>174</v>
      </c>
      <c r="I3" s="102" t="s">
        <v>342</v>
      </c>
      <c r="J3" s="102" t="s">
        <v>343</v>
      </c>
      <c r="K3" s="102"/>
      <c r="L3" s="102" t="s">
        <v>344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4">
        <v>1.0</v>
      </c>
      <c r="C4" s="76"/>
      <c r="D4" s="76"/>
      <c r="E4" s="76"/>
      <c r="F4" s="76"/>
      <c r="G4" s="76"/>
      <c r="H4" s="76"/>
      <c r="I4" s="76"/>
      <c r="J4" s="175"/>
      <c r="K4" s="1"/>
      <c r="L4" s="176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4">
        <v>2.0</v>
      </c>
      <c r="C5" s="93"/>
      <c r="D5" s="93"/>
      <c r="E5" s="93"/>
      <c r="F5" s="93"/>
      <c r="G5" s="93"/>
      <c r="H5" s="93"/>
      <c r="I5" s="93"/>
      <c r="J5" s="177"/>
      <c r="K5" s="1"/>
      <c r="L5" s="176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4">
        <v>3.0</v>
      </c>
      <c r="C6" s="76"/>
      <c r="D6" s="76"/>
      <c r="E6" s="76"/>
      <c r="F6" s="76"/>
      <c r="G6" s="76"/>
      <c r="H6" s="76"/>
      <c r="I6" s="76"/>
      <c r="J6" s="175"/>
      <c r="K6" s="1"/>
      <c r="L6" s="176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4">
        <v>4.0</v>
      </c>
      <c r="C7" s="93"/>
      <c r="D7" s="93"/>
      <c r="E7" s="93"/>
      <c r="F7" s="93"/>
      <c r="G7" s="93"/>
      <c r="H7" s="93"/>
      <c r="I7" s="93"/>
      <c r="J7" s="177"/>
      <c r="K7" s="1"/>
      <c r="L7" s="176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4">
        <v>5.0</v>
      </c>
      <c r="C8" s="76"/>
      <c r="D8" s="76"/>
      <c r="E8" s="76"/>
      <c r="F8" s="76"/>
      <c r="G8" s="76"/>
      <c r="H8" s="76"/>
      <c r="I8" s="76"/>
      <c r="J8" s="175"/>
      <c r="K8" s="1"/>
      <c r="L8" s="176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4">
        <v>6.0</v>
      </c>
      <c r="C9" s="93"/>
      <c r="D9" s="93"/>
      <c r="E9" s="93"/>
      <c r="F9" s="93"/>
      <c r="G9" s="93"/>
      <c r="H9" s="93"/>
      <c r="I9" s="93"/>
      <c r="J9" s="177"/>
      <c r="K9" s="1"/>
      <c r="L9" s="176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4">
        <v>7.0</v>
      </c>
      <c r="C10" s="76"/>
      <c r="D10" s="76"/>
      <c r="E10" s="76"/>
      <c r="F10" s="76"/>
      <c r="G10" s="76"/>
      <c r="H10" s="76"/>
      <c r="I10" s="76"/>
      <c r="J10" s="175"/>
      <c r="K10" s="1"/>
      <c r="L10" s="176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4">
        <v>8.0</v>
      </c>
      <c r="C11" s="93"/>
      <c r="D11" s="93"/>
      <c r="E11" s="93"/>
      <c r="F11" s="93"/>
      <c r="G11" s="93"/>
      <c r="H11" s="93"/>
      <c r="I11" s="93"/>
      <c r="J11" s="177"/>
      <c r="K11" s="1"/>
      <c r="L11" s="176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4">
        <v>9.0</v>
      </c>
      <c r="C12" s="76"/>
      <c r="D12" s="76"/>
      <c r="E12" s="76"/>
      <c r="F12" s="76"/>
      <c r="G12" s="76"/>
      <c r="H12" s="76"/>
      <c r="I12" s="76"/>
      <c r="J12" s="175"/>
      <c r="K12" s="1"/>
      <c r="L12" s="176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4">
        <v>10.0</v>
      </c>
      <c r="C13" s="93"/>
      <c r="D13" s="93"/>
      <c r="E13" s="93"/>
      <c r="F13" s="93"/>
      <c r="G13" s="93"/>
      <c r="H13" s="93"/>
      <c r="I13" s="93"/>
      <c r="J13" s="177"/>
      <c r="K13" s="1"/>
      <c r="L13" s="176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4">
        <v>11.0</v>
      </c>
      <c r="C14" s="76"/>
      <c r="D14" s="76"/>
      <c r="E14" s="76"/>
      <c r="F14" s="76"/>
      <c r="G14" s="76"/>
      <c r="H14" s="76"/>
      <c r="I14" s="76"/>
      <c r="J14" s="175"/>
      <c r="K14" s="1"/>
      <c r="L14" s="176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4">
        <v>12.0</v>
      </c>
      <c r="C15" s="93"/>
      <c r="D15" s="93"/>
      <c r="E15" s="93"/>
      <c r="F15" s="93"/>
      <c r="G15" s="93"/>
      <c r="H15" s="93"/>
      <c r="I15" s="93"/>
      <c r="J15" s="177"/>
      <c r="K15" s="1"/>
      <c r="L15" s="176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4">
        <v>13.0</v>
      </c>
      <c r="C16" s="76"/>
      <c r="D16" s="76"/>
      <c r="E16" s="76"/>
      <c r="F16" s="76"/>
      <c r="G16" s="76"/>
      <c r="H16" s="76"/>
      <c r="I16" s="76"/>
      <c r="J16" s="175"/>
      <c r="K16" s="1"/>
      <c r="L16" s="176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4">
        <v>14.0</v>
      </c>
      <c r="C17" s="93"/>
      <c r="D17" s="93"/>
      <c r="E17" s="93"/>
      <c r="F17" s="93"/>
      <c r="G17" s="93"/>
      <c r="H17" s="93"/>
      <c r="I17" s="93"/>
      <c r="J17" s="177"/>
      <c r="K17" s="1"/>
      <c r="L17" s="176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4">
        <v>15.0</v>
      </c>
      <c r="C18" s="76"/>
      <c r="D18" s="76"/>
      <c r="E18" s="76"/>
      <c r="F18" s="76"/>
      <c r="G18" s="76"/>
      <c r="H18" s="76"/>
      <c r="I18" s="76"/>
      <c r="J18" s="175"/>
      <c r="K18" s="1"/>
      <c r="L18" s="176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4">
        <v>16.0</v>
      </c>
      <c r="C19" s="93"/>
      <c r="D19" s="93"/>
      <c r="E19" s="93"/>
      <c r="F19" s="93"/>
      <c r="G19" s="93"/>
      <c r="H19" s="93"/>
      <c r="I19" s="93"/>
      <c r="J19" s="177"/>
      <c r="K19" s="1"/>
      <c r="L19" s="176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4">
        <v>17.0</v>
      </c>
      <c r="C20" s="76"/>
      <c r="D20" s="76"/>
      <c r="E20" s="76"/>
      <c r="F20" s="76"/>
      <c r="G20" s="76"/>
      <c r="H20" s="76"/>
      <c r="I20" s="76"/>
      <c r="J20" s="175"/>
      <c r="K20" s="1"/>
      <c r="L20" s="176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4">
        <v>18.0</v>
      </c>
      <c r="C21" s="93"/>
      <c r="D21" s="93"/>
      <c r="E21" s="93"/>
      <c r="F21" s="93"/>
      <c r="G21" s="93"/>
      <c r="H21" s="93"/>
      <c r="I21" s="93"/>
      <c r="J21" s="177"/>
      <c r="K21" s="1"/>
      <c r="L21" s="176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4">
        <v>19.0</v>
      </c>
      <c r="C22" s="76"/>
      <c r="D22" s="76"/>
      <c r="E22" s="76"/>
      <c r="F22" s="76"/>
      <c r="G22" s="76"/>
      <c r="H22" s="76"/>
      <c r="I22" s="76"/>
      <c r="J22" s="175"/>
      <c r="K22" s="1"/>
      <c r="L22" s="176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4">
        <v>20.0</v>
      </c>
      <c r="C23" s="93"/>
      <c r="D23" s="93"/>
      <c r="E23" s="93"/>
      <c r="F23" s="93"/>
      <c r="G23" s="93"/>
      <c r="H23" s="93"/>
      <c r="I23" s="93"/>
      <c r="J23" s="177"/>
      <c r="K23" s="1"/>
      <c r="L23" s="176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4">
        <v>21.0</v>
      </c>
      <c r="C24" s="76"/>
      <c r="D24" s="76"/>
      <c r="E24" s="76"/>
      <c r="F24" s="76"/>
      <c r="G24" s="76"/>
      <c r="H24" s="76"/>
      <c r="I24" s="76"/>
      <c r="J24" s="175"/>
      <c r="K24" s="1"/>
      <c r="L24" s="176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4">
        <v>22.0</v>
      </c>
      <c r="C25" s="93"/>
      <c r="D25" s="93"/>
      <c r="E25" s="93"/>
      <c r="F25" s="93"/>
      <c r="G25" s="93"/>
      <c r="H25" s="93"/>
      <c r="I25" s="93"/>
      <c r="J25" s="177"/>
      <c r="K25" s="1"/>
      <c r="L25" s="176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4">
        <v>23.0</v>
      </c>
      <c r="C26" s="76"/>
      <c r="D26" s="76"/>
      <c r="E26" s="76"/>
      <c r="F26" s="76"/>
      <c r="G26" s="76"/>
      <c r="H26" s="76"/>
      <c r="I26" s="76"/>
      <c r="J26" s="175"/>
      <c r="K26" s="1"/>
      <c r="L26" s="176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4">
        <v>24.0</v>
      </c>
      <c r="C27" s="93"/>
      <c r="D27" s="93"/>
      <c r="E27" s="93"/>
      <c r="F27" s="93"/>
      <c r="G27" s="93"/>
      <c r="H27" s="93"/>
      <c r="I27" s="93"/>
      <c r="J27" s="177"/>
      <c r="K27" s="1"/>
      <c r="L27" s="176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4">
        <v>25.0</v>
      </c>
      <c r="C28" s="76"/>
      <c r="D28" s="76"/>
      <c r="E28" s="76"/>
      <c r="F28" s="76"/>
      <c r="G28" s="76"/>
      <c r="H28" s="76"/>
      <c r="I28" s="76"/>
      <c r="J28" s="175"/>
      <c r="K28" s="1"/>
      <c r="L28" s="176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4">
        <v>26.0</v>
      </c>
      <c r="C29" s="93"/>
      <c r="D29" s="93"/>
      <c r="E29" s="93"/>
      <c r="F29" s="93"/>
      <c r="G29" s="93"/>
      <c r="H29" s="93"/>
      <c r="I29" s="93"/>
      <c r="J29" s="177"/>
      <c r="K29" s="1"/>
      <c r="L29" s="176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4">
        <v>27.0</v>
      </c>
      <c r="C30" s="76"/>
      <c r="D30" s="76"/>
      <c r="E30" s="76"/>
      <c r="F30" s="76"/>
      <c r="G30" s="76"/>
      <c r="H30" s="76"/>
      <c r="I30" s="76"/>
      <c r="J30" s="175"/>
      <c r="K30" s="1"/>
      <c r="L30" s="176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4">
        <v>28.0</v>
      </c>
      <c r="C31" s="93"/>
      <c r="D31" s="93"/>
      <c r="E31" s="93"/>
      <c r="F31" s="93"/>
      <c r="G31" s="93"/>
      <c r="H31" s="93"/>
      <c r="I31" s="93"/>
      <c r="J31" s="177"/>
      <c r="K31" s="1"/>
      <c r="L31" s="176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4">
        <v>29.0</v>
      </c>
      <c r="C32" s="76"/>
      <c r="D32" s="76"/>
      <c r="E32" s="76"/>
      <c r="F32" s="76"/>
      <c r="G32" s="76"/>
      <c r="H32" s="76"/>
      <c r="I32" s="76"/>
      <c r="J32" s="175"/>
      <c r="K32" s="1"/>
      <c r="L32" s="176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4">
        <v>30.0</v>
      </c>
      <c r="C33" s="93"/>
      <c r="D33" s="93"/>
      <c r="E33" s="93"/>
      <c r="F33" s="93"/>
      <c r="G33" s="93"/>
      <c r="H33" s="93"/>
      <c r="I33" s="93"/>
      <c r="J33" s="177"/>
      <c r="K33" s="1"/>
      <c r="L33" s="176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4">
        <v>31.0</v>
      </c>
      <c r="C34" s="76"/>
      <c r="D34" s="76"/>
      <c r="E34" s="76"/>
      <c r="F34" s="76"/>
      <c r="G34" s="76"/>
      <c r="H34" s="76"/>
      <c r="I34" s="76"/>
      <c r="J34" s="175"/>
      <c r="K34" s="1"/>
      <c r="L34" s="176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78" t="s">
        <v>345</v>
      </c>
      <c r="C35" s="73">
        <f t="shared" ref="C35:J35" si="2">SUM(C4:C34)</f>
        <v>0</v>
      </c>
      <c r="D35" s="73">
        <f t="shared" si="2"/>
        <v>0</v>
      </c>
      <c r="E35" s="73">
        <f t="shared" si="2"/>
        <v>0</v>
      </c>
      <c r="F35" s="73">
        <f t="shared" si="2"/>
        <v>0</v>
      </c>
      <c r="G35" s="73">
        <f t="shared" si="2"/>
        <v>0</v>
      </c>
      <c r="H35" s="73">
        <f t="shared" si="2"/>
        <v>0</v>
      </c>
      <c r="I35" s="73">
        <f t="shared" si="2"/>
        <v>0</v>
      </c>
      <c r="J35" s="179">
        <f t="shared" si="2"/>
        <v>0</v>
      </c>
      <c r="K35" s="1"/>
      <c r="L35" s="180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1" t="s">
        <v>346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58" t="s">
        <v>158</v>
      </c>
      <c r="C38" s="65">
        <f>C35</f>
        <v>0</v>
      </c>
      <c r="D38" s="92" t="s">
        <v>385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58" t="s">
        <v>164</v>
      </c>
      <c r="C39" s="65">
        <f>D35</f>
        <v>0</v>
      </c>
      <c r="D39" s="92" t="s">
        <v>386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58" t="s">
        <v>167</v>
      </c>
      <c r="C40" s="65">
        <f>E35</f>
        <v>0</v>
      </c>
      <c r="D40" s="92" t="s">
        <v>387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58" t="s">
        <v>169</v>
      </c>
      <c r="C41" s="65">
        <f>F35</f>
        <v>0</v>
      </c>
      <c r="D41" s="92" t="s">
        <v>388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58" t="s">
        <v>351</v>
      </c>
      <c r="C42" s="65">
        <f>G35</f>
        <v>0</v>
      </c>
      <c r="D42" s="92" t="s">
        <v>389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58" t="s">
        <v>174</v>
      </c>
      <c r="C43" s="65">
        <f>H35</f>
        <v>0</v>
      </c>
      <c r="D43" s="92" t="s">
        <v>390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58" t="s">
        <v>342</v>
      </c>
      <c r="C44" s="65">
        <f>I35</f>
        <v>0</v>
      </c>
      <c r="D44" s="92" t="s">
        <v>391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58" t="s">
        <v>355</v>
      </c>
      <c r="C45" s="182">
        <f>J35</f>
        <v>0</v>
      </c>
      <c r="D45" s="92" t="s">
        <v>392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4" t="s">
        <v>393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2" t="s">
        <v>341</v>
      </c>
      <c r="C3" s="102" t="s">
        <v>158</v>
      </c>
      <c r="D3" s="102" t="s">
        <v>164</v>
      </c>
      <c r="E3" s="102" t="s">
        <v>167</v>
      </c>
      <c r="F3" s="102" t="s">
        <v>169</v>
      </c>
      <c r="G3" s="102" t="s">
        <v>172</v>
      </c>
      <c r="H3" s="102" t="s">
        <v>174</v>
      </c>
      <c r="I3" s="102" t="s">
        <v>342</v>
      </c>
      <c r="J3" s="102" t="s">
        <v>343</v>
      </c>
      <c r="K3" s="102"/>
      <c r="L3" s="102" t="s">
        <v>344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4">
        <v>1.0</v>
      </c>
      <c r="C4" s="76"/>
      <c r="D4" s="76"/>
      <c r="E4" s="76"/>
      <c r="F4" s="76"/>
      <c r="G4" s="76"/>
      <c r="H4" s="76"/>
      <c r="I4" s="76"/>
      <c r="J4" s="175"/>
      <c r="K4" s="1"/>
      <c r="L4" s="176">
        <f t="shared" ref="L4:L33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4">
        <v>2.0</v>
      </c>
      <c r="C5" s="93"/>
      <c r="D5" s="93"/>
      <c r="E5" s="93"/>
      <c r="F5" s="93"/>
      <c r="G5" s="93"/>
      <c r="H5" s="93"/>
      <c r="I5" s="93"/>
      <c r="J5" s="177"/>
      <c r="K5" s="1"/>
      <c r="L5" s="176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4">
        <v>3.0</v>
      </c>
      <c r="C6" s="76"/>
      <c r="D6" s="76"/>
      <c r="E6" s="76"/>
      <c r="F6" s="76"/>
      <c r="G6" s="76"/>
      <c r="H6" s="76"/>
      <c r="I6" s="76"/>
      <c r="J6" s="175"/>
      <c r="K6" s="1"/>
      <c r="L6" s="176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4">
        <v>4.0</v>
      </c>
      <c r="C7" s="93"/>
      <c r="D7" s="93"/>
      <c r="E7" s="93"/>
      <c r="F7" s="93"/>
      <c r="G7" s="93"/>
      <c r="H7" s="93"/>
      <c r="I7" s="93"/>
      <c r="J7" s="177"/>
      <c r="K7" s="1"/>
      <c r="L7" s="176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4">
        <v>5.0</v>
      </c>
      <c r="C8" s="76"/>
      <c r="D8" s="76"/>
      <c r="E8" s="76"/>
      <c r="F8" s="76"/>
      <c r="G8" s="76"/>
      <c r="H8" s="76"/>
      <c r="I8" s="76"/>
      <c r="J8" s="175"/>
      <c r="K8" s="1"/>
      <c r="L8" s="176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4">
        <v>6.0</v>
      </c>
      <c r="C9" s="93"/>
      <c r="D9" s="93"/>
      <c r="E9" s="93"/>
      <c r="F9" s="93"/>
      <c r="G9" s="93"/>
      <c r="H9" s="93"/>
      <c r="I9" s="93"/>
      <c r="J9" s="177"/>
      <c r="K9" s="1"/>
      <c r="L9" s="176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4">
        <v>7.0</v>
      </c>
      <c r="C10" s="76"/>
      <c r="D10" s="76"/>
      <c r="E10" s="76"/>
      <c r="F10" s="76"/>
      <c r="G10" s="76"/>
      <c r="H10" s="76"/>
      <c r="I10" s="76"/>
      <c r="J10" s="175"/>
      <c r="K10" s="1"/>
      <c r="L10" s="176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4">
        <v>8.0</v>
      </c>
      <c r="C11" s="93"/>
      <c r="D11" s="93"/>
      <c r="E11" s="93"/>
      <c r="F11" s="93"/>
      <c r="G11" s="93"/>
      <c r="H11" s="93"/>
      <c r="I11" s="93"/>
      <c r="J11" s="177"/>
      <c r="K11" s="1"/>
      <c r="L11" s="176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4">
        <v>9.0</v>
      </c>
      <c r="C12" s="76"/>
      <c r="D12" s="76"/>
      <c r="E12" s="76"/>
      <c r="F12" s="76"/>
      <c r="G12" s="76"/>
      <c r="H12" s="76"/>
      <c r="I12" s="76"/>
      <c r="J12" s="175"/>
      <c r="K12" s="1"/>
      <c r="L12" s="176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4">
        <v>10.0</v>
      </c>
      <c r="C13" s="93"/>
      <c r="D13" s="93"/>
      <c r="E13" s="93"/>
      <c r="F13" s="93"/>
      <c r="G13" s="93"/>
      <c r="H13" s="93"/>
      <c r="I13" s="93"/>
      <c r="J13" s="177"/>
      <c r="K13" s="1"/>
      <c r="L13" s="176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4">
        <v>11.0</v>
      </c>
      <c r="C14" s="76"/>
      <c r="D14" s="76"/>
      <c r="E14" s="76"/>
      <c r="F14" s="76"/>
      <c r="G14" s="76"/>
      <c r="H14" s="76"/>
      <c r="I14" s="76"/>
      <c r="J14" s="175"/>
      <c r="K14" s="1"/>
      <c r="L14" s="176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4">
        <v>12.0</v>
      </c>
      <c r="C15" s="93"/>
      <c r="D15" s="93"/>
      <c r="E15" s="93"/>
      <c r="F15" s="93"/>
      <c r="G15" s="93"/>
      <c r="H15" s="93"/>
      <c r="I15" s="93"/>
      <c r="J15" s="177"/>
      <c r="K15" s="1"/>
      <c r="L15" s="176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4">
        <v>13.0</v>
      </c>
      <c r="C16" s="76"/>
      <c r="D16" s="76"/>
      <c r="E16" s="76"/>
      <c r="F16" s="76"/>
      <c r="G16" s="76"/>
      <c r="H16" s="76"/>
      <c r="I16" s="76"/>
      <c r="J16" s="175"/>
      <c r="K16" s="1"/>
      <c r="L16" s="176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4">
        <v>14.0</v>
      </c>
      <c r="C17" s="93"/>
      <c r="D17" s="93"/>
      <c r="E17" s="93"/>
      <c r="F17" s="93"/>
      <c r="G17" s="93"/>
      <c r="H17" s="93"/>
      <c r="I17" s="93"/>
      <c r="J17" s="177"/>
      <c r="K17" s="1"/>
      <c r="L17" s="176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4">
        <v>15.0</v>
      </c>
      <c r="C18" s="76"/>
      <c r="D18" s="76"/>
      <c r="E18" s="76"/>
      <c r="F18" s="76"/>
      <c r="G18" s="76"/>
      <c r="H18" s="76"/>
      <c r="I18" s="76"/>
      <c r="J18" s="175"/>
      <c r="K18" s="1"/>
      <c r="L18" s="176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4">
        <v>16.0</v>
      </c>
      <c r="C19" s="93"/>
      <c r="D19" s="93"/>
      <c r="E19" s="93"/>
      <c r="F19" s="93"/>
      <c r="G19" s="93"/>
      <c r="H19" s="93"/>
      <c r="I19" s="93"/>
      <c r="J19" s="177"/>
      <c r="K19" s="1"/>
      <c r="L19" s="176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4">
        <v>17.0</v>
      </c>
      <c r="C20" s="76"/>
      <c r="D20" s="76"/>
      <c r="E20" s="76"/>
      <c r="F20" s="76"/>
      <c r="G20" s="76"/>
      <c r="H20" s="76"/>
      <c r="I20" s="76"/>
      <c r="J20" s="175"/>
      <c r="K20" s="1"/>
      <c r="L20" s="176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4">
        <v>18.0</v>
      </c>
      <c r="C21" s="93"/>
      <c r="D21" s="93"/>
      <c r="E21" s="93"/>
      <c r="F21" s="93"/>
      <c r="G21" s="93"/>
      <c r="H21" s="93"/>
      <c r="I21" s="93"/>
      <c r="J21" s="177"/>
      <c r="K21" s="1"/>
      <c r="L21" s="176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4">
        <v>19.0</v>
      </c>
      <c r="C22" s="76"/>
      <c r="D22" s="76"/>
      <c r="E22" s="76"/>
      <c r="F22" s="76"/>
      <c r="G22" s="76"/>
      <c r="H22" s="76"/>
      <c r="I22" s="76"/>
      <c r="J22" s="175"/>
      <c r="K22" s="1"/>
      <c r="L22" s="176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4">
        <v>20.0</v>
      </c>
      <c r="C23" s="93"/>
      <c r="D23" s="93"/>
      <c r="E23" s="93"/>
      <c r="F23" s="93"/>
      <c r="G23" s="93"/>
      <c r="H23" s="93"/>
      <c r="I23" s="93"/>
      <c r="J23" s="177"/>
      <c r="K23" s="1"/>
      <c r="L23" s="176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4">
        <v>21.0</v>
      </c>
      <c r="C24" s="76"/>
      <c r="D24" s="76"/>
      <c r="E24" s="76"/>
      <c r="F24" s="76"/>
      <c r="G24" s="76"/>
      <c r="H24" s="76"/>
      <c r="I24" s="76"/>
      <c r="J24" s="175"/>
      <c r="K24" s="1"/>
      <c r="L24" s="176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4">
        <v>22.0</v>
      </c>
      <c r="C25" s="93"/>
      <c r="D25" s="93"/>
      <c r="E25" s="93"/>
      <c r="F25" s="93"/>
      <c r="G25" s="93"/>
      <c r="H25" s="93"/>
      <c r="I25" s="93"/>
      <c r="J25" s="177"/>
      <c r="K25" s="1"/>
      <c r="L25" s="176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4">
        <v>23.0</v>
      </c>
      <c r="C26" s="76"/>
      <c r="D26" s="76"/>
      <c r="E26" s="76"/>
      <c r="F26" s="76"/>
      <c r="G26" s="76"/>
      <c r="H26" s="76"/>
      <c r="I26" s="76"/>
      <c r="J26" s="175"/>
      <c r="K26" s="1"/>
      <c r="L26" s="176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4">
        <v>24.0</v>
      </c>
      <c r="C27" s="93"/>
      <c r="D27" s="93"/>
      <c r="E27" s="93"/>
      <c r="F27" s="93"/>
      <c r="G27" s="93"/>
      <c r="H27" s="93"/>
      <c r="I27" s="93"/>
      <c r="J27" s="177"/>
      <c r="K27" s="1"/>
      <c r="L27" s="176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4">
        <v>25.0</v>
      </c>
      <c r="C28" s="76"/>
      <c r="D28" s="76"/>
      <c r="E28" s="76"/>
      <c r="F28" s="76"/>
      <c r="G28" s="76"/>
      <c r="H28" s="76"/>
      <c r="I28" s="76"/>
      <c r="J28" s="175"/>
      <c r="K28" s="1"/>
      <c r="L28" s="176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4">
        <v>26.0</v>
      </c>
      <c r="C29" s="93"/>
      <c r="D29" s="93"/>
      <c r="E29" s="93"/>
      <c r="F29" s="93"/>
      <c r="G29" s="93"/>
      <c r="H29" s="93"/>
      <c r="I29" s="93"/>
      <c r="J29" s="177"/>
      <c r="K29" s="1"/>
      <c r="L29" s="176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4">
        <v>27.0</v>
      </c>
      <c r="C30" s="76"/>
      <c r="D30" s="76"/>
      <c r="E30" s="76"/>
      <c r="F30" s="76"/>
      <c r="G30" s="76"/>
      <c r="H30" s="76"/>
      <c r="I30" s="76"/>
      <c r="J30" s="175"/>
      <c r="K30" s="1"/>
      <c r="L30" s="176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4">
        <v>28.0</v>
      </c>
      <c r="C31" s="93"/>
      <c r="D31" s="93"/>
      <c r="E31" s="93"/>
      <c r="F31" s="93"/>
      <c r="G31" s="93"/>
      <c r="H31" s="93"/>
      <c r="I31" s="93"/>
      <c r="J31" s="177"/>
      <c r="K31" s="1"/>
      <c r="L31" s="176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4">
        <v>29.0</v>
      </c>
      <c r="C32" s="76"/>
      <c r="D32" s="76"/>
      <c r="E32" s="76"/>
      <c r="F32" s="76"/>
      <c r="G32" s="76"/>
      <c r="H32" s="76"/>
      <c r="I32" s="76"/>
      <c r="J32" s="175"/>
      <c r="K32" s="1"/>
      <c r="L32" s="176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4">
        <v>30.0</v>
      </c>
      <c r="C33" s="93"/>
      <c r="D33" s="93"/>
      <c r="E33" s="93"/>
      <c r="F33" s="93"/>
      <c r="G33" s="93"/>
      <c r="H33" s="93"/>
      <c r="I33" s="93"/>
      <c r="J33" s="177"/>
      <c r="K33" s="1"/>
      <c r="L33" s="176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8" t="s">
        <v>345</v>
      </c>
      <c r="C34" s="73">
        <f t="shared" ref="C34:J34" si="2">SUM(C4:C33)</f>
        <v>0</v>
      </c>
      <c r="D34" s="73">
        <f t="shared" si="2"/>
        <v>0</v>
      </c>
      <c r="E34" s="73">
        <f t="shared" si="2"/>
        <v>0</v>
      </c>
      <c r="F34" s="73">
        <f t="shared" si="2"/>
        <v>0</v>
      </c>
      <c r="G34" s="73">
        <f t="shared" si="2"/>
        <v>0</v>
      </c>
      <c r="H34" s="73">
        <f t="shared" si="2"/>
        <v>0</v>
      </c>
      <c r="I34" s="73">
        <f t="shared" si="2"/>
        <v>0</v>
      </c>
      <c r="J34" s="179">
        <f t="shared" si="2"/>
        <v>0</v>
      </c>
      <c r="K34" s="1"/>
      <c r="L34" s="180">
        <f>SUM(L4:L33)</f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81" t="s">
        <v>346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58" t="s">
        <v>158</v>
      </c>
      <c r="C37" s="65">
        <f>C34</f>
        <v>0</v>
      </c>
      <c r="D37" s="92" t="s">
        <v>394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58" t="s">
        <v>164</v>
      </c>
      <c r="C38" s="65">
        <f>D34</f>
        <v>0</v>
      </c>
      <c r="D38" s="92" t="s">
        <v>395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58" t="s">
        <v>167</v>
      </c>
      <c r="C39" s="65">
        <f>E34</f>
        <v>0</v>
      </c>
      <c r="D39" s="92" t="s">
        <v>396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58" t="s">
        <v>169</v>
      </c>
      <c r="C40" s="65">
        <f>F34</f>
        <v>0</v>
      </c>
      <c r="D40" s="92" t="s">
        <v>397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58" t="s">
        <v>351</v>
      </c>
      <c r="C41" s="65">
        <f>G34</f>
        <v>0</v>
      </c>
      <c r="D41" s="92" t="s">
        <v>398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58" t="s">
        <v>174</v>
      </c>
      <c r="C42" s="65">
        <f>H34</f>
        <v>0</v>
      </c>
      <c r="D42" s="92" t="s">
        <v>399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58" t="s">
        <v>342</v>
      </c>
      <c r="C43" s="65">
        <f>I34</f>
        <v>0</v>
      </c>
      <c r="D43" s="92" t="s">
        <v>400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58" t="s">
        <v>355</v>
      </c>
      <c r="C44" s="182">
        <f>J34</f>
        <v>0</v>
      </c>
      <c r="D44" s="92" t="s">
        <v>401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4" t="s">
        <v>402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2" t="s">
        <v>341</v>
      </c>
      <c r="C3" s="102" t="s">
        <v>158</v>
      </c>
      <c r="D3" s="102" t="s">
        <v>164</v>
      </c>
      <c r="E3" s="102" t="s">
        <v>167</v>
      </c>
      <c r="F3" s="102" t="s">
        <v>169</v>
      </c>
      <c r="G3" s="102" t="s">
        <v>172</v>
      </c>
      <c r="H3" s="102" t="s">
        <v>174</v>
      </c>
      <c r="I3" s="102" t="s">
        <v>342</v>
      </c>
      <c r="J3" s="102" t="s">
        <v>343</v>
      </c>
      <c r="K3" s="102"/>
      <c r="L3" s="102" t="s">
        <v>344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4">
        <v>1.0</v>
      </c>
      <c r="C4" s="76"/>
      <c r="D4" s="76"/>
      <c r="E4" s="76"/>
      <c r="F4" s="76"/>
      <c r="G4" s="76"/>
      <c r="H4" s="76"/>
      <c r="I4" s="76"/>
      <c r="J4" s="175"/>
      <c r="K4" s="1"/>
      <c r="L4" s="176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4">
        <v>2.0</v>
      </c>
      <c r="C5" s="93"/>
      <c r="D5" s="93"/>
      <c r="E5" s="93"/>
      <c r="F5" s="93"/>
      <c r="G5" s="93"/>
      <c r="H5" s="93"/>
      <c r="I5" s="93"/>
      <c r="J5" s="177"/>
      <c r="K5" s="1"/>
      <c r="L5" s="176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4">
        <v>3.0</v>
      </c>
      <c r="C6" s="76"/>
      <c r="D6" s="76"/>
      <c r="E6" s="76"/>
      <c r="F6" s="76"/>
      <c r="G6" s="76"/>
      <c r="H6" s="76"/>
      <c r="I6" s="76"/>
      <c r="J6" s="175"/>
      <c r="K6" s="1"/>
      <c r="L6" s="176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4">
        <v>4.0</v>
      </c>
      <c r="C7" s="93"/>
      <c r="D7" s="93"/>
      <c r="E7" s="93"/>
      <c r="F7" s="93"/>
      <c r="G7" s="93"/>
      <c r="H7" s="93"/>
      <c r="I7" s="93"/>
      <c r="J7" s="177"/>
      <c r="K7" s="1"/>
      <c r="L7" s="176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4">
        <v>5.0</v>
      </c>
      <c r="C8" s="76"/>
      <c r="D8" s="76"/>
      <c r="E8" s="76"/>
      <c r="F8" s="76"/>
      <c r="G8" s="76"/>
      <c r="H8" s="76"/>
      <c r="I8" s="76"/>
      <c r="J8" s="175"/>
      <c r="K8" s="1"/>
      <c r="L8" s="176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4">
        <v>6.0</v>
      </c>
      <c r="C9" s="93"/>
      <c r="D9" s="93"/>
      <c r="E9" s="93"/>
      <c r="F9" s="93"/>
      <c r="G9" s="93"/>
      <c r="H9" s="93"/>
      <c r="I9" s="93"/>
      <c r="J9" s="177"/>
      <c r="K9" s="1"/>
      <c r="L9" s="176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4">
        <v>7.0</v>
      </c>
      <c r="C10" s="76"/>
      <c r="D10" s="76"/>
      <c r="E10" s="76"/>
      <c r="F10" s="76"/>
      <c r="G10" s="76"/>
      <c r="H10" s="76"/>
      <c r="I10" s="76"/>
      <c r="J10" s="175"/>
      <c r="K10" s="1"/>
      <c r="L10" s="176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4">
        <v>8.0</v>
      </c>
      <c r="C11" s="93"/>
      <c r="D11" s="93"/>
      <c r="E11" s="93"/>
      <c r="F11" s="93"/>
      <c r="G11" s="93"/>
      <c r="H11" s="93"/>
      <c r="I11" s="93"/>
      <c r="J11" s="177"/>
      <c r="K11" s="1"/>
      <c r="L11" s="176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4">
        <v>9.0</v>
      </c>
      <c r="C12" s="76"/>
      <c r="D12" s="76"/>
      <c r="E12" s="76"/>
      <c r="F12" s="76"/>
      <c r="G12" s="76"/>
      <c r="H12" s="76"/>
      <c r="I12" s="76"/>
      <c r="J12" s="175"/>
      <c r="K12" s="1"/>
      <c r="L12" s="176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4">
        <v>10.0</v>
      </c>
      <c r="C13" s="93"/>
      <c r="D13" s="93"/>
      <c r="E13" s="93"/>
      <c r="F13" s="93"/>
      <c r="G13" s="93"/>
      <c r="H13" s="93"/>
      <c r="I13" s="93"/>
      <c r="J13" s="177"/>
      <c r="K13" s="1"/>
      <c r="L13" s="176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4">
        <v>11.0</v>
      </c>
      <c r="C14" s="76"/>
      <c r="D14" s="76"/>
      <c r="E14" s="76"/>
      <c r="F14" s="76"/>
      <c r="G14" s="76"/>
      <c r="H14" s="76"/>
      <c r="I14" s="76"/>
      <c r="J14" s="175"/>
      <c r="K14" s="1"/>
      <c r="L14" s="176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4">
        <v>12.0</v>
      </c>
      <c r="C15" s="93"/>
      <c r="D15" s="93"/>
      <c r="E15" s="93"/>
      <c r="F15" s="93"/>
      <c r="G15" s="93"/>
      <c r="H15" s="93"/>
      <c r="I15" s="93"/>
      <c r="J15" s="177"/>
      <c r="K15" s="1"/>
      <c r="L15" s="176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4">
        <v>13.0</v>
      </c>
      <c r="C16" s="76"/>
      <c r="D16" s="76"/>
      <c r="E16" s="76"/>
      <c r="F16" s="76"/>
      <c r="G16" s="76"/>
      <c r="H16" s="76"/>
      <c r="I16" s="76"/>
      <c r="J16" s="175"/>
      <c r="K16" s="1"/>
      <c r="L16" s="176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4">
        <v>14.0</v>
      </c>
      <c r="C17" s="93"/>
      <c r="D17" s="93"/>
      <c r="E17" s="93"/>
      <c r="F17" s="93"/>
      <c r="G17" s="93"/>
      <c r="H17" s="93"/>
      <c r="I17" s="93"/>
      <c r="J17" s="177"/>
      <c r="K17" s="1"/>
      <c r="L17" s="176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4">
        <v>15.0</v>
      </c>
      <c r="C18" s="76"/>
      <c r="D18" s="76"/>
      <c r="E18" s="76"/>
      <c r="F18" s="76"/>
      <c r="G18" s="76"/>
      <c r="H18" s="76"/>
      <c r="I18" s="76"/>
      <c r="J18" s="175"/>
      <c r="K18" s="1"/>
      <c r="L18" s="176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4">
        <v>16.0</v>
      </c>
      <c r="C19" s="93"/>
      <c r="D19" s="93"/>
      <c r="E19" s="93"/>
      <c r="F19" s="93"/>
      <c r="G19" s="93"/>
      <c r="H19" s="93"/>
      <c r="I19" s="93"/>
      <c r="J19" s="177"/>
      <c r="K19" s="1"/>
      <c r="L19" s="176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4">
        <v>17.0</v>
      </c>
      <c r="C20" s="76"/>
      <c r="D20" s="76"/>
      <c r="E20" s="76"/>
      <c r="F20" s="76"/>
      <c r="G20" s="76"/>
      <c r="H20" s="76"/>
      <c r="I20" s="76"/>
      <c r="J20" s="175"/>
      <c r="K20" s="1"/>
      <c r="L20" s="176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4">
        <v>18.0</v>
      </c>
      <c r="C21" s="93"/>
      <c r="D21" s="93"/>
      <c r="E21" s="93"/>
      <c r="F21" s="93"/>
      <c r="G21" s="93"/>
      <c r="H21" s="93"/>
      <c r="I21" s="93"/>
      <c r="J21" s="177"/>
      <c r="K21" s="1"/>
      <c r="L21" s="176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4">
        <v>19.0</v>
      </c>
      <c r="C22" s="76"/>
      <c r="D22" s="76"/>
      <c r="E22" s="76"/>
      <c r="F22" s="76"/>
      <c r="G22" s="76"/>
      <c r="H22" s="76"/>
      <c r="I22" s="76"/>
      <c r="J22" s="175"/>
      <c r="K22" s="1"/>
      <c r="L22" s="176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4">
        <v>20.0</v>
      </c>
      <c r="C23" s="93"/>
      <c r="D23" s="93"/>
      <c r="E23" s="93"/>
      <c r="F23" s="93"/>
      <c r="G23" s="93"/>
      <c r="H23" s="93"/>
      <c r="I23" s="93"/>
      <c r="J23" s="177"/>
      <c r="K23" s="1"/>
      <c r="L23" s="176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4">
        <v>21.0</v>
      </c>
      <c r="C24" s="76"/>
      <c r="D24" s="76"/>
      <c r="E24" s="76"/>
      <c r="F24" s="76"/>
      <c r="G24" s="76"/>
      <c r="H24" s="76"/>
      <c r="I24" s="76"/>
      <c r="J24" s="175"/>
      <c r="K24" s="1"/>
      <c r="L24" s="176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4">
        <v>22.0</v>
      </c>
      <c r="C25" s="93"/>
      <c r="D25" s="93"/>
      <c r="E25" s="93"/>
      <c r="F25" s="93"/>
      <c r="G25" s="93"/>
      <c r="H25" s="93"/>
      <c r="I25" s="93"/>
      <c r="J25" s="177"/>
      <c r="K25" s="1"/>
      <c r="L25" s="176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4">
        <v>23.0</v>
      </c>
      <c r="C26" s="76"/>
      <c r="D26" s="76"/>
      <c r="E26" s="76"/>
      <c r="F26" s="76"/>
      <c r="G26" s="76"/>
      <c r="H26" s="76"/>
      <c r="I26" s="76"/>
      <c r="J26" s="175"/>
      <c r="K26" s="1"/>
      <c r="L26" s="176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4">
        <v>24.0</v>
      </c>
      <c r="C27" s="93"/>
      <c r="D27" s="93"/>
      <c r="E27" s="93"/>
      <c r="F27" s="93"/>
      <c r="G27" s="93"/>
      <c r="H27" s="93"/>
      <c r="I27" s="93"/>
      <c r="J27" s="177"/>
      <c r="K27" s="1"/>
      <c r="L27" s="176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4">
        <v>25.0</v>
      </c>
      <c r="C28" s="76"/>
      <c r="D28" s="76"/>
      <c r="E28" s="76"/>
      <c r="F28" s="76"/>
      <c r="G28" s="76"/>
      <c r="H28" s="76"/>
      <c r="I28" s="76"/>
      <c r="J28" s="175"/>
      <c r="K28" s="1"/>
      <c r="L28" s="176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4">
        <v>26.0</v>
      </c>
      <c r="C29" s="93"/>
      <c r="D29" s="93"/>
      <c r="E29" s="93"/>
      <c r="F29" s="93"/>
      <c r="G29" s="93"/>
      <c r="H29" s="93"/>
      <c r="I29" s="93"/>
      <c r="J29" s="177"/>
      <c r="K29" s="1"/>
      <c r="L29" s="176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4">
        <v>27.0</v>
      </c>
      <c r="C30" s="76"/>
      <c r="D30" s="76"/>
      <c r="E30" s="76"/>
      <c r="F30" s="76"/>
      <c r="G30" s="76"/>
      <c r="H30" s="76"/>
      <c r="I30" s="76"/>
      <c r="J30" s="175"/>
      <c r="K30" s="1"/>
      <c r="L30" s="176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4">
        <v>28.0</v>
      </c>
      <c r="C31" s="93"/>
      <c r="D31" s="93"/>
      <c r="E31" s="93"/>
      <c r="F31" s="93"/>
      <c r="G31" s="93"/>
      <c r="H31" s="93"/>
      <c r="I31" s="93"/>
      <c r="J31" s="177"/>
      <c r="K31" s="1"/>
      <c r="L31" s="176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4">
        <v>29.0</v>
      </c>
      <c r="C32" s="76"/>
      <c r="D32" s="76"/>
      <c r="E32" s="76"/>
      <c r="F32" s="76"/>
      <c r="G32" s="76"/>
      <c r="H32" s="76"/>
      <c r="I32" s="76"/>
      <c r="J32" s="175"/>
      <c r="K32" s="1"/>
      <c r="L32" s="176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4">
        <v>30.0</v>
      </c>
      <c r="C33" s="93"/>
      <c r="D33" s="93"/>
      <c r="E33" s="93"/>
      <c r="F33" s="93"/>
      <c r="G33" s="93"/>
      <c r="H33" s="93"/>
      <c r="I33" s="93"/>
      <c r="J33" s="177"/>
      <c r="K33" s="1"/>
      <c r="L33" s="176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4">
        <v>31.0</v>
      </c>
      <c r="C34" s="76"/>
      <c r="D34" s="76"/>
      <c r="E34" s="76"/>
      <c r="F34" s="76"/>
      <c r="G34" s="76"/>
      <c r="H34" s="76"/>
      <c r="I34" s="76"/>
      <c r="J34" s="175"/>
      <c r="K34" s="1"/>
      <c r="L34" s="176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78" t="s">
        <v>345</v>
      </c>
      <c r="C35" s="73">
        <f t="shared" ref="C35:J35" si="2">SUM(C4:C34)</f>
        <v>0</v>
      </c>
      <c r="D35" s="73">
        <f t="shared" si="2"/>
        <v>0</v>
      </c>
      <c r="E35" s="73">
        <f t="shared" si="2"/>
        <v>0</v>
      </c>
      <c r="F35" s="73">
        <f t="shared" si="2"/>
        <v>0</v>
      </c>
      <c r="G35" s="73">
        <f t="shared" si="2"/>
        <v>0</v>
      </c>
      <c r="H35" s="73">
        <f t="shared" si="2"/>
        <v>0</v>
      </c>
      <c r="I35" s="73">
        <f t="shared" si="2"/>
        <v>0</v>
      </c>
      <c r="J35" s="179">
        <f t="shared" si="2"/>
        <v>0</v>
      </c>
      <c r="K35" s="1"/>
      <c r="L35" s="180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1" t="s">
        <v>346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58" t="s">
        <v>158</v>
      </c>
      <c r="C38" s="65">
        <f>C35</f>
        <v>0</v>
      </c>
      <c r="D38" s="92" t="s">
        <v>403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58" t="s">
        <v>164</v>
      </c>
      <c r="C39" s="65">
        <f>D35</f>
        <v>0</v>
      </c>
      <c r="D39" s="92" t="s">
        <v>404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58" t="s">
        <v>167</v>
      </c>
      <c r="C40" s="65">
        <f>E35</f>
        <v>0</v>
      </c>
      <c r="D40" s="92" t="s">
        <v>405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58" t="s">
        <v>169</v>
      </c>
      <c r="C41" s="65">
        <f>F35</f>
        <v>0</v>
      </c>
      <c r="D41" s="92" t="s">
        <v>406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58" t="s">
        <v>351</v>
      </c>
      <c r="C42" s="65">
        <f>G35</f>
        <v>0</v>
      </c>
      <c r="D42" s="92" t="s">
        <v>407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58" t="s">
        <v>174</v>
      </c>
      <c r="C43" s="65">
        <f>H35</f>
        <v>0</v>
      </c>
      <c r="D43" s="92" t="s">
        <v>408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58" t="s">
        <v>342</v>
      </c>
      <c r="C44" s="65">
        <f>I35</f>
        <v>0</v>
      </c>
      <c r="D44" s="92" t="s">
        <v>409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58" t="s">
        <v>355</v>
      </c>
      <c r="C45" s="182">
        <f>J35</f>
        <v>0</v>
      </c>
      <c r="D45" s="92" t="s">
        <v>410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4" t="s">
        <v>411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2" t="s">
        <v>341</v>
      </c>
      <c r="C3" s="102" t="s">
        <v>158</v>
      </c>
      <c r="D3" s="102" t="s">
        <v>164</v>
      </c>
      <c r="E3" s="102" t="s">
        <v>167</v>
      </c>
      <c r="F3" s="102" t="s">
        <v>169</v>
      </c>
      <c r="G3" s="102" t="s">
        <v>172</v>
      </c>
      <c r="H3" s="102" t="s">
        <v>174</v>
      </c>
      <c r="I3" s="102" t="s">
        <v>342</v>
      </c>
      <c r="J3" s="102" t="s">
        <v>343</v>
      </c>
      <c r="K3" s="102"/>
      <c r="L3" s="102" t="s">
        <v>344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4">
        <v>1.0</v>
      </c>
      <c r="C4" s="76"/>
      <c r="D4" s="76"/>
      <c r="E4" s="76"/>
      <c r="F4" s="76"/>
      <c r="G4" s="76"/>
      <c r="H4" s="76"/>
      <c r="I4" s="76"/>
      <c r="J4" s="175"/>
      <c r="K4" s="1"/>
      <c r="L4" s="176">
        <f t="shared" ref="L4:L33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4">
        <v>2.0</v>
      </c>
      <c r="C5" s="93"/>
      <c r="D5" s="93"/>
      <c r="E5" s="93"/>
      <c r="F5" s="93"/>
      <c r="G5" s="93"/>
      <c r="H5" s="93"/>
      <c r="I5" s="93"/>
      <c r="J5" s="177"/>
      <c r="K5" s="1"/>
      <c r="L5" s="176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4">
        <v>3.0</v>
      </c>
      <c r="C6" s="76"/>
      <c r="D6" s="76"/>
      <c r="E6" s="76"/>
      <c r="F6" s="76"/>
      <c r="G6" s="76"/>
      <c r="H6" s="76"/>
      <c r="I6" s="76"/>
      <c r="J6" s="175"/>
      <c r="K6" s="1"/>
      <c r="L6" s="176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4">
        <v>4.0</v>
      </c>
      <c r="C7" s="93"/>
      <c r="D7" s="93"/>
      <c r="E7" s="93"/>
      <c r="F7" s="93"/>
      <c r="G7" s="93"/>
      <c r="H7" s="93"/>
      <c r="I7" s="93"/>
      <c r="J7" s="177"/>
      <c r="K7" s="1"/>
      <c r="L7" s="176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4">
        <v>5.0</v>
      </c>
      <c r="C8" s="76"/>
      <c r="D8" s="76"/>
      <c r="E8" s="76"/>
      <c r="F8" s="76"/>
      <c r="G8" s="76"/>
      <c r="H8" s="76"/>
      <c r="I8" s="76"/>
      <c r="J8" s="175"/>
      <c r="K8" s="1"/>
      <c r="L8" s="176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4">
        <v>6.0</v>
      </c>
      <c r="C9" s="93"/>
      <c r="D9" s="93"/>
      <c r="E9" s="93"/>
      <c r="F9" s="93"/>
      <c r="G9" s="93"/>
      <c r="H9" s="93"/>
      <c r="I9" s="93"/>
      <c r="J9" s="177"/>
      <c r="K9" s="1"/>
      <c r="L9" s="176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4">
        <v>7.0</v>
      </c>
      <c r="C10" s="76"/>
      <c r="D10" s="76"/>
      <c r="E10" s="76"/>
      <c r="F10" s="76"/>
      <c r="G10" s="76"/>
      <c r="H10" s="76"/>
      <c r="I10" s="76"/>
      <c r="J10" s="175"/>
      <c r="K10" s="1"/>
      <c r="L10" s="176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4">
        <v>8.0</v>
      </c>
      <c r="C11" s="93"/>
      <c r="D11" s="93"/>
      <c r="E11" s="93"/>
      <c r="F11" s="93"/>
      <c r="G11" s="93"/>
      <c r="H11" s="93"/>
      <c r="I11" s="93"/>
      <c r="J11" s="177"/>
      <c r="K11" s="1"/>
      <c r="L11" s="176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4">
        <v>9.0</v>
      </c>
      <c r="C12" s="76"/>
      <c r="D12" s="76"/>
      <c r="E12" s="76"/>
      <c r="F12" s="76"/>
      <c r="G12" s="76"/>
      <c r="H12" s="76"/>
      <c r="I12" s="76"/>
      <c r="J12" s="175"/>
      <c r="K12" s="1"/>
      <c r="L12" s="176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4">
        <v>10.0</v>
      </c>
      <c r="C13" s="93"/>
      <c r="D13" s="93"/>
      <c r="E13" s="93"/>
      <c r="F13" s="93"/>
      <c r="G13" s="93"/>
      <c r="H13" s="93"/>
      <c r="I13" s="93"/>
      <c r="J13" s="177"/>
      <c r="K13" s="1"/>
      <c r="L13" s="176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4">
        <v>11.0</v>
      </c>
      <c r="C14" s="76"/>
      <c r="D14" s="76"/>
      <c r="E14" s="76"/>
      <c r="F14" s="76"/>
      <c r="G14" s="76"/>
      <c r="H14" s="76"/>
      <c r="I14" s="76"/>
      <c r="J14" s="175"/>
      <c r="K14" s="1"/>
      <c r="L14" s="176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4">
        <v>12.0</v>
      </c>
      <c r="C15" s="93"/>
      <c r="D15" s="93"/>
      <c r="E15" s="93"/>
      <c r="F15" s="93"/>
      <c r="G15" s="93"/>
      <c r="H15" s="93"/>
      <c r="I15" s="93"/>
      <c r="J15" s="177"/>
      <c r="K15" s="1"/>
      <c r="L15" s="176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4">
        <v>13.0</v>
      </c>
      <c r="C16" s="76"/>
      <c r="D16" s="76"/>
      <c r="E16" s="76"/>
      <c r="F16" s="76"/>
      <c r="G16" s="76"/>
      <c r="H16" s="76"/>
      <c r="I16" s="76"/>
      <c r="J16" s="175"/>
      <c r="K16" s="1"/>
      <c r="L16" s="176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4">
        <v>14.0</v>
      </c>
      <c r="C17" s="93"/>
      <c r="D17" s="93"/>
      <c r="E17" s="93"/>
      <c r="F17" s="93"/>
      <c r="G17" s="93"/>
      <c r="H17" s="93"/>
      <c r="I17" s="93"/>
      <c r="J17" s="177"/>
      <c r="K17" s="1"/>
      <c r="L17" s="176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4">
        <v>15.0</v>
      </c>
      <c r="C18" s="76"/>
      <c r="D18" s="76"/>
      <c r="E18" s="76"/>
      <c r="F18" s="76"/>
      <c r="G18" s="76"/>
      <c r="H18" s="76"/>
      <c r="I18" s="76"/>
      <c r="J18" s="175"/>
      <c r="K18" s="1"/>
      <c r="L18" s="176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4">
        <v>16.0</v>
      </c>
      <c r="C19" s="93"/>
      <c r="D19" s="93"/>
      <c r="E19" s="93"/>
      <c r="F19" s="93"/>
      <c r="G19" s="93"/>
      <c r="H19" s="93"/>
      <c r="I19" s="93"/>
      <c r="J19" s="177"/>
      <c r="K19" s="1"/>
      <c r="L19" s="176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4">
        <v>17.0</v>
      </c>
      <c r="C20" s="76"/>
      <c r="D20" s="76"/>
      <c r="E20" s="76"/>
      <c r="F20" s="76"/>
      <c r="G20" s="76"/>
      <c r="H20" s="76"/>
      <c r="I20" s="76"/>
      <c r="J20" s="175"/>
      <c r="K20" s="1"/>
      <c r="L20" s="176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4">
        <v>18.0</v>
      </c>
      <c r="C21" s="93"/>
      <c r="D21" s="93"/>
      <c r="E21" s="93"/>
      <c r="F21" s="93"/>
      <c r="G21" s="93"/>
      <c r="H21" s="93"/>
      <c r="I21" s="93"/>
      <c r="J21" s="177"/>
      <c r="K21" s="1"/>
      <c r="L21" s="176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4">
        <v>19.0</v>
      </c>
      <c r="C22" s="76"/>
      <c r="D22" s="76"/>
      <c r="E22" s="76"/>
      <c r="F22" s="76"/>
      <c r="G22" s="76"/>
      <c r="H22" s="76"/>
      <c r="I22" s="76"/>
      <c r="J22" s="175"/>
      <c r="K22" s="1"/>
      <c r="L22" s="176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4">
        <v>20.0</v>
      </c>
      <c r="C23" s="93"/>
      <c r="D23" s="93"/>
      <c r="E23" s="93"/>
      <c r="F23" s="93"/>
      <c r="G23" s="93"/>
      <c r="H23" s="93"/>
      <c r="I23" s="93"/>
      <c r="J23" s="177"/>
      <c r="K23" s="1"/>
      <c r="L23" s="176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4">
        <v>21.0</v>
      </c>
      <c r="C24" s="76"/>
      <c r="D24" s="76"/>
      <c r="E24" s="76"/>
      <c r="F24" s="76"/>
      <c r="G24" s="76"/>
      <c r="H24" s="76"/>
      <c r="I24" s="76"/>
      <c r="J24" s="175"/>
      <c r="K24" s="1"/>
      <c r="L24" s="176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4">
        <v>22.0</v>
      </c>
      <c r="C25" s="93"/>
      <c r="D25" s="93"/>
      <c r="E25" s="93"/>
      <c r="F25" s="93"/>
      <c r="G25" s="93"/>
      <c r="H25" s="93"/>
      <c r="I25" s="93"/>
      <c r="J25" s="177"/>
      <c r="K25" s="1"/>
      <c r="L25" s="176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4">
        <v>23.0</v>
      </c>
      <c r="C26" s="76"/>
      <c r="D26" s="76"/>
      <c r="E26" s="76"/>
      <c r="F26" s="76"/>
      <c r="G26" s="76"/>
      <c r="H26" s="76"/>
      <c r="I26" s="76"/>
      <c r="J26" s="175"/>
      <c r="K26" s="1"/>
      <c r="L26" s="176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4">
        <v>24.0</v>
      </c>
      <c r="C27" s="93"/>
      <c r="D27" s="93"/>
      <c r="E27" s="93"/>
      <c r="F27" s="93"/>
      <c r="G27" s="93"/>
      <c r="H27" s="93"/>
      <c r="I27" s="93"/>
      <c r="J27" s="177"/>
      <c r="K27" s="1"/>
      <c r="L27" s="176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4">
        <v>25.0</v>
      </c>
      <c r="C28" s="76"/>
      <c r="D28" s="76"/>
      <c r="E28" s="76"/>
      <c r="F28" s="76"/>
      <c r="G28" s="76"/>
      <c r="H28" s="76"/>
      <c r="I28" s="76"/>
      <c r="J28" s="175"/>
      <c r="K28" s="1"/>
      <c r="L28" s="176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4">
        <v>26.0</v>
      </c>
      <c r="C29" s="93"/>
      <c r="D29" s="93"/>
      <c r="E29" s="93"/>
      <c r="F29" s="93"/>
      <c r="G29" s="93"/>
      <c r="H29" s="93"/>
      <c r="I29" s="93"/>
      <c r="J29" s="177"/>
      <c r="K29" s="1"/>
      <c r="L29" s="176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4">
        <v>27.0</v>
      </c>
      <c r="C30" s="76"/>
      <c r="D30" s="76"/>
      <c r="E30" s="76"/>
      <c r="F30" s="76"/>
      <c r="G30" s="76"/>
      <c r="H30" s="76"/>
      <c r="I30" s="76"/>
      <c r="J30" s="175"/>
      <c r="K30" s="1"/>
      <c r="L30" s="176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4">
        <v>28.0</v>
      </c>
      <c r="C31" s="93"/>
      <c r="D31" s="93"/>
      <c r="E31" s="93"/>
      <c r="F31" s="93"/>
      <c r="G31" s="93"/>
      <c r="H31" s="93"/>
      <c r="I31" s="93"/>
      <c r="J31" s="177"/>
      <c r="K31" s="1"/>
      <c r="L31" s="176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4">
        <v>29.0</v>
      </c>
      <c r="C32" s="76"/>
      <c r="D32" s="76"/>
      <c r="E32" s="76"/>
      <c r="F32" s="76"/>
      <c r="G32" s="76"/>
      <c r="H32" s="76"/>
      <c r="I32" s="76"/>
      <c r="J32" s="175"/>
      <c r="K32" s="1"/>
      <c r="L32" s="176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4">
        <v>30.0</v>
      </c>
      <c r="C33" s="93"/>
      <c r="D33" s="93"/>
      <c r="E33" s="93"/>
      <c r="F33" s="93"/>
      <c r="G33" s="93"/>
      <c r="H33" s="93"/>
      <c r="I33" s="93"/>
      <c r="J33" s="177"/>
      <c r="K33" s="1"/>
      <c r="L33" s="176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8" t="s">
        <v>345</v>
      </c>
      <c r="C34" s="73">
        <f t="shared" ref="C34:J34" si="2">SUM(C4:C33)</f>
        <v>0</v>
      </c>
      <c r="D34" s="73">
        <f t="shared" si="2"/>
        <v>0</v>
      </c>
      <c r="E34" s="73">
        <f t="shared" si="2"/>
        <v>0</v>
      </c>
      <c r="F34" s="73">
        <f t="shared" si="2"/>
        <v>0</v>
      </c>
      <c r="G34" s="73">
        <f t="shared" si="2"/>
        <v>0</v>
      </c>
      <c r="H34" s="73">
        <f t="shared" si="2"/>
        <v>0</v>
      </c>
      <c r="I34" s="73">
        <f t="shared" si="2"/>
        <v>0</v>
      </c>
      <c r="J34" s="179">
        <f t="shared" si="2"/>
        <v>0</v>
      </c>
      <c r="K34" s="1"/>
      <c r="L34" s="180">
        <f>SUM(L4:L33)</f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81" t="s">
        <v>346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58" t="s">
        <v>158</v>
      </c>
      <c r="C37" s="65">
        <f>C34</f>
        <v>0</v>
      </c>
      <c r="D37" s="92" t="s">
        <v>412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58" t="s">
        <v>164</v>
      </c>
      <c r="C38" s="65">
        <f>D34</f>
        <v>0</v>
      </c>
      <c r="D38" s="92" t="s">
        <v>413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58" t="s">
        <v>167</v>
      </c>
      <c r="C39" s="65">
        <f>E34</f>
        <v>0</v>
      </c>
      <c r="D39" s="92" t="s">
        <v>414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58" t="s">
        <v>169</v>
      </c>
      <c r="C40" s="65">
        <f>F34</f>
        <v>0</v>
      </c>
      <c r="D40" s="92" t="s">
        <v>415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58" t="s">
        <v>351</v>
      </c>
      <c r="C41" s="65">
        <f>G34</f>
        <v>0</v>
      </c>
      <c r="D41" s="92" t="s">
        <v>416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58" t="s">
        <v>174</v>
      </c>
      <c r="C42" s="65">
        <f>H34</f>
        <v>0</v>
      </c>
      <c r="D42" s="92" t="s">
        <v>417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58" t="s">
        <v>342</v>
      </c>
      <c r="C43" s="65">
        <f>I34</f>
        <v>0</v>
      </c>
      <c r="D43" s="92" t="s">
        <v>418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58" t="s">
        <v>355</v>
      </c>
      <c r="C44" s="182">
        <f>J34</f>
        <v>0</v>
      </c>
      <c r="D44" s="92" t="s">
        <v>419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4" t="s">
        <v>420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2" t="s">
        <v>341</v>
      </c>
      <c r="C3" s="102" t="s">
        <v>158</v>
      </c>
      <c r="D3" s="102" t="s">
        <v>164</v>
      </c>
      <c r="E3" s="102" t="s">
        <v>167</v>
      </c>
      <c r="F3" s="102" t="s">
        <v>169</v>
      </c>
      <c r="G3" s="102" t="s">
        <v>172</v>
      </c>
      <c r="H3" s="102" t="s">
        <v>174</v>
      </c>
      <c r="I3" s="102" t="s">
        <v>342</v>
      </c>
      <c r="J3" s="102" t="s">
        <v>343</v>
      </c>
      <c r="K3" s="102"/>
      <c r="L3" s="102" t="s">
        <v>344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4">
        <v>1.0</v>
      </c>
      <c r="C4" s="76"/>
      <c r="D4" s="76"/>
      <c r="E4" s="76"/>
      <c r="F4" s="76"/>
      <c r="G4" s="76"/>
      <c r="H4" s="76"/>
      <c r="I4" s="76"/>
      <c r="J4" s="175"/>
      <c r="K4" s="1"/>
      <c r="L4" s="176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4">
        <v>2.0</v>
      </c>
      <c r="C5" s="93"/>
      <c r="D5" s="93"/>
      <c r="E5" s="93"/>
      <c r="F5" s="93"/>
      <c r="G5" s="93"/>
      <c r="H5" s="93"/>
      <c r="I5" s="93"/>
      <c r="J5" s="177"/>
      <c r="K5" s="1"/>
      <c r="L5" s="176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4">
        <v>3.0</v>
      </c>
      <c r="C6" s="76"/>
      <c r="D6" s="76"/>
      <c r="E6" s="76"/>
      <c r="F6" s="76"/>
      <c r="G6" s="76"/>
      <c r="H6" s="76"/>
      <c r="I6" s="76"/>
      <c r="J6" s="175"/>
      <c r="K6" s="1"/>
      <c r="L6" s="176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4">
        <v>4.0</v>
      </c>
      <c r="C7" s="93"/>
      <c r="D7" s="93"/>
      <c r="E7" s="93"/>
      <c r="F7" s="93"/>
      <c r="G7" s="93"/>
      <c r="H7" s="93"/>
      <c r="I7" s="93"/>
      <c r="J7" s="177"/>
      <c r="K7" s="1"/>
      <c r="L7" s="176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4">
        <v>5.0</v>
      </c>
      <c r="C8" s="76"/>
      <c r="D8" s="76"/>
      <c r="E8" s="76"/>
      <c r="F8" s="76"/>
      <c r="G8" s="76"/>
      <c r="H8" s="76"/>
      <c r="I8" s="76"/>
      <c r="J8" s="175"/>
      <c r="K8" s="1"/>
      <c r="L8" s="176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4">
        <v>6.0</v>
      </c>
      <c r="C9" s="93"/>
      <c r="D9" s="93"/>
      <c r="E9" s="93"/>
      <c r="F9" s="93"/>
      <c r="G9" s="93"/>
      <c r="H9" s="93"/>
      <c r="I9" s="93"/>
      <c r="J9" s="177"/>
      <c r="K9" s="1"/>
      <c r="L9" s="176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4">
        <v>7.0</v>
      </c>
      <c r="C10" s="76"/>
      <c r="D10" s="76"/>
      <c r="E10" s="76"/>
      <c r="F10" s="76"/>
      <c r="G10" s="76"/>
      <c r="H10" s="76"/>
      <c r="I10" s="76"/>
      <c r="J10" s="175"/>
      <c r="K10" s="1"/>
      <c r="L10" s="176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4">
        <v>8.0</v>
      </c>
      <c r="C11" s="93"/>
      <c r="D11" s="93"/>
      <c r="E11" s="93"/>
      <c r="F11" s="93"/>
      <c r="G11" s="93"/>
      <c r="H11" s="93"/>
      <c r="I11" s="93"/>
      <c r="J11" s="177"/>
      <c r="K11" s="1"/>
      <c r="L11" s="176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4">
        <v>9.0</v>
      </c>
      <c r="C12" s="76"/>
      <c r="D12" s="76"/>
      <c r="E12" s="76"/>
      <c r="F12" s="76"/>
      <c r="G12" s="76"/>
      <c r="H12" s="76"/>
      <c r="I12" s="76"/>
      <c r="J12" s="175"/>
      <c r="K12" s="1"/>
      <c r="L12" s="176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4">
        <v>10.0</v>
      </c>
      <c r="C13" s="93"/>
      <c r="D13" s="93"/>
      <c r="E13" s="93"/>
      <c r="F13" s="93"/>
      <c r="G13" s="93"/>
      <c r="H13" s="93"/>
      <c r="I13" s="93"/>
      <c r="J13" s="177"/>
      <c r="K13" s="1"/>
      <c r="L13" s="176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4">
        <v>11.0</v>
      </c>
      <c r="C14" s="76"/>
      <c r="D14" s="76"/>
      <c r="E14" s="76"/>
      <c r="F14" s="76"/>
      <c r="G14" s="76"/>
      <c r="H14" s="76"/>
      <c r="I14" s="76"/>
      <c r="J14" s="175"/>
      <c r="K14" s="1"/>
      <c r="L14" s="176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4">
        <v>12.0</v>
      </c>
      <c r="C15" s="93"/>
      <c r="D15" s="93"/>
      <c r="E15" s="93"/>
      <c r="F15" s="93"/>
      <c r="G15" s="93"/>
      <c r="H15" s="93"/>
      <c r="I15" s="93"/>
      <c r="J15" s="177"/>
      <c r="K15" s="1"/>
      <c r="L15" s="176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4">
        <v>13.0</v>
      </c>
      <c r="C16" s="76"/>
      <c r="D16" s="76"/>
      <c r="E16" s="76"/>
      <c r="F16" s="76"/>
      <c r="G16" s="76"/>
      <c r="H16" s="76"/>
      <c r="I16" s="76"/>
      <c r="J16" s="175"/>
      <c r="K16" s="1"/>
      <c r="L16" s="176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4">
        <v>14.0</v>
      </c>
      <c r="C17" s="93"/>
      <c r="D17" s="93"/>
      <c r="E17" s="93"/>
      <c r="F17" s="93"/>
      <c r="G17" s="93"/>
      <c r="H17" s="93"/>
      <c r="I17" s="93"/>
      <c r="J17" s="177"/>
      <c r="K17" s="1"/>
      <c r="L17" s="176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4">
        <v>15.0</v>
      </c>
      <c r="C18" s="76"/>
      <c r="D18" s="76"/>
      <c r="E18" s="76"/>
      <c r="F18" s="76"/>
      <c r="G18" s="76"/>
      <c r="H18" s="76"/>
      <c r="I18" s="76"/>
      <c r="J18" s="175"/>
      <c r="K18" s="1"/>
      <c r="L18" s="176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4">
        <v>16.0</v>
      </c>
      <c r="C19" s="93"/>
      <c r="D19" s="93"/>
      <c r="E19" s="93"/>
      <c r="F19" s="93"/>
      <c r="G19" s="93"/>
      <c r="H19" s="93"/>
      <c r="I19" s="93"/>
      <c r="J19" s="177"/>
      <c r="K19" s="1"/>
      <c r="L19" s="176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4">
        <v>17.0</v>
      </c>
      <c r="C20" s="76"/>
      <c r="D20" s="76"/>
      <c r="E20" s="76"/>
      <c r="F20" s="76"/>
      <c r="G20" s="76"/>
      <c r="H20" s="76"/>
      <c r="I20" s="76"/>
      <c r="J20" s="175"/>
      <c r="K20" s="1"/>
      <c r="L20" s="176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4">
        <v>18.0</v>
      </c>
      <c r="C21" s="93"/>
      <c r="D21" s="93"/>
      <c r="E21" s="93"/>
      <c r="F21" s="93"/>
      <c r="G21" s="93"/>
      <c r="H21" s="93"/>
      <c r="I21" s="93"/>
      <c r="J21" s="177"/>
      <c r="K21" s="1"/>
      <c r="L21" s="176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4">
        <v>19.0</v>
      </c>
      <c r="C22" s="76"/>
      <c r="D22" s="76"/>
      <c r="E22" s="76"/>
      <c r="F22" s="76"/>
      <c r="G22" s="76"/>
      <c r="H22" s="76"/>
      <c r="I22" s="76"/>
      <c r="J22" s="175"/>
      <c r="K22" s="1"/>
      <c r="L22" s="176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4">
        <v>20.0</v>
      </c>
      <c r="C23" s="93"/>
      <c r="D23" s="93"/>
      <c r="E23" s="93"/>
      <c r="F23" s="93"/>
      <c r="G23" s="93"/>
      <c r="H23" s="93"/>
      <c r="I23" s="93"/>
      <c r="J23" s="177"/>
      <c r="K23" s="1"/>
      <c r="L23" s="176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4">
        <v>21.0</v>
      </c>
      <c r="C24" s="76"/>
      <c r="D24" s="76"/>
      <c r="E24" s="76"/>
      <c r="F24" s="76"/>
      <c r="G24" s="76"/>
      <c r="H24" s="76"/>
      <c r="I24" s="76"/>
      <c r="J24" s="175"/>
      <c r="K24" s="1"/>
      <c r="L24" s="176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4">
        <v>22.0</v>
      </c>
      <c r="C25" s="93"/>
      <c r="D25" s="93"/>
      <c r="E25" s="93"/>
      <c r="F25" s="93"/>
      <c r="G25" s="93"/>
      <c r="H25" s="93"/>
      <c r="I25" s="93"/>
      <c r="J25" s="177"/>
      <c r="K25" s="1"/>
      <c r="L25" s="176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4">
        <v>23.0</v>
      </c>
      <c r="C26" s="76"/>
      <c r="D26" s="76"/>
      <c r="E26" s="76"/>
      <c r="F26" s="76"/>
      <c r="G26" s="76"/>
      <c r="H26" s="76"/>
      <c r="I26" s="76"/>
      <c r="J26" s="175"/>
      <c r="K26" s="1"/>
      <c r="L26" s="176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4">
        <v>24.0</v>
      </c>
      <c r="C27" s="93"/>
      <c r="D27" s="93"/>
      <c r="E27" s="93"/>
      <c r="F27" s="93"/>
      <c r="G27" s="93"/>
      <c r="H27" s="93"/>
      <c r="I27" s="93"/>
      <c r="J27" s="177"/>
      <c r="K27" s="1"/>
      <c r="L27" s="176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4">
        <v>25.0</v>
      </c>
      <c r="C28" s="76"/>
      <c r="D28" s="76"/>
      <c r="E28" s="76"/>
      <c r="F28" s="76"/>
      <c r="G28" s="76"/>
      <c r="H28" s="76"/>
      <c r="I28" s="76"/>
      <c r="J28" s="175"/>
      <c r="K28" s="1"/>
      <c r="L28" s="176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4">
        <v>26.0</v>
      </c>
      <c r="C29" s="93"/>
      <c r="D29" s="93"/>
      <c r="E29" s="93"/>
      <c r="F29" s="93"/>
      <c r="G29" s="93"/>
      <c r="H29" s="93"/>
      <c r="I29" s="93"/>
      <c r="J29" s="177"/>
      <c r="K29" s="1"/>
      <c r="L29" s="176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4">
        <v>27.0</v>
      </c>
      <c r="C30" s="76"/>
      <c r="D30" s="76"/>
      <c r="E30" s="76"/>
      <c r="F30" s="76"/>
      <c r="G30" s="76"/>
      <c r="H30" s="76"/>
      <c r="I30" s="76"/>
      <c r="J30" s="175"/>
      <c r="K30" s="1"/>
      <c r="L30" s="176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4">
        <v>28.0</v>
      </c>
      <c r="C31" s="93"/>
      <c r="D31" s="93"/>
      <c r="E31" s="93"/>
      <c r="F31" s="93"/>
      <c r="G31" s="93"/>
      <c r="H31" s="93"/>
      <c r="I31" s="93"/>
      <c r="J31" s="177"/>
      <c r="K31" s="1"/>
      <c r="L31" s="176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4">
        <v>29.0</v>
      </c>
      <c r="C32" s="76"/>
      <c r="D32" s="76"/>
      <c r="E32" s="76"/>
      <c r="F32" s="76"/>
      <c r="G32" s="76"/>
      <c r="H32" s="76"/>
      <c r="I32" s="76"/>
      <c r="J32" s="175"/>
      <c r="K32" s="1"/>
      <c r="L32" s="176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4">
        <v>30.0</v>
      </c>
      <c r="C33" s="93"/>
      <c r="D33" s="93"/>
      <c r="E33" s="93"/>
      <c r="F33" s="93"/>
      <c r="G33" s="93"/>
      <c r="H33" s="93"/>
      <c r="I33" s="93"/>
      <c r="J33" s="177"/>
      <c r="K33" s="1"/>
      <c r="L33" s="176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4">
        <v>31.0</v>
      </c>
      <c r="C34" s="76"/>
      <c r="D34" s="76"/>
      <c r="E34" s="76"/>
      <c r="F34" s="76"/>
      <c r="G34" s="76"/>
      <c r="H34" s="76"/>
      <c r="I34" s="76"/>
      <c r="J34" s="175"/>
      <c r="K34" s="1"/>
      <c r="L34" s="176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78" t="s">
        <v>345</v>
      </c>
      <c r="C35" s="73">
        <f t="shared" ref="C35:J35" si="2">SUM(C4:C34)</f>
        <v>0</v>
      </c>
      <c r="D35" s="73">
        <f t="shared" si="2"/>
        <v>0</v>
      </c>
      <c r="E35" s="73">
        <f t="shared" si="2"/>
        <v>0</v>
      </c>
      <c r="F35" s="73">
        <f t="shared" si="2"/>
        <v>0</v>
      </c>
      <c r="G35" s="73">
        <f t="shared" si="2"/>
        <v>0</v>
      </c>
      <c r="H35" s="73">
        <f t="shared" si="2"/>
        <v>0</v>
      </c>
      <c r="I35" s="73">
        <f t="shared" si="2"/>
        <v>0</v>
      </c>
      <c r="J35" s="179">
        <f t="shared" si="2"/>
        <v>0</v>
      </c>
      <c r="K35" s="1"/>
      <c r="L35" s="180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1" t="s">
        <v>346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58" t="s">
        <v>158</v>
      </c>
      <c r="C38" s="65">
        <f>C35</f>
        <v>0</v>
      </c>
      <c r="D38" s="92" t="s">
        <v>421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58" t="s">
        <v>164</v>
      </c>
      <c r="C39" s="65">
        <f>D35</f>
        <v>0</v>
      </c>
      <c r="D39" s="92" t="s">
        <v>422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58" t="s">
        <v>167</v>
      </c>
      <c r="C40" s="65">
        <f>E35</f>
        <v>0</v>
      </c>
      <c r="D40" s="92" t="s">
        <v>423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58" t="s">
        <v>169</v>
      </c>
      <c r="C41" s="65">
        <f>F35</f>
        <v>0</v>
      </c>
      <c r="D41" s="92" t="s">
        <v>424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58" t="s">
        <v>351</v>
      </c>
      <c r="C42" s="65">
        <f>G35</f>
        <v>0</v>
      </c>
      <c r="D42" s="92" t="s">
        <v>425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58" t="s">
        <v>174</v>
      </c>
      <c r="C43" s="65">
        <f>H35</f>
        <v>0</v>
      </c>
      <c r="D43" s="92" t="s">
        <v>426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58" t="s">
        <v>342</v>
      </c>
      <c r="C44" s="65">
        <f>I35</f>
        <v>0</v>
      </c>
      <c r="D44" s="92" t="s">
        <v>427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58" t="s">
        <v>355</v>
      </c>
      <c r="C45" s="182">
        <f>J35</f>
        <v>0</v>
      </c>
      <c r="D45" s="92" t="s">
        <v>428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4" t="s">
        <v>429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2" t="s">
        <v>341</v>
      </c>
      <c r="C3" s="102" t="s">
        <v>158</v>
      </c>
      <c r="D3" s="102" t="s">
        <v>164</v>
      </c>
      <c r="E3" s="102" t="s">
        <v>167</v>
      </c>
      <c r="F3" s="102" t="s">
        <v>169</v>
      </c>
      <c r="G3" s="102" t="s">
        <v>172</v>
      </c>
      <c r="H3" s="102" t="s">
        <v>174</v>
      </c>
      <c r="I3" s="102" t="s">
        <v>342</v>
      </c>
      <c r="J3" s="102" t="s">
        <v>343</v>
      </c>
      <c r="K3" s="102"/>
      <c r="L3" s="102" t="s">
        <v>344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4">
        <v>1.0</v>
      </c>
      <c r="C4" s="76"/>
      <c r="D4" s="76"/>
      <c r="E4" s="76"/>
      <c r="F4" s="76"/>
      <c r="G4" s="76"/>
      <c r="H4" s="76"/>
      <c r="I4" s="76"/>
      <c r="J4" s="175"/>
      <c r="K4" s="1"/>
      <c r="L4" s="176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4">
        <v>2.0</v>
      </c>
      <c r="C5" s="93"/>
      <c r="D5" s="93"/>
      <c r="E5" s="93"/>
      <c r="F5" s="93"/>
      <c r="G5" s="93"/>
      <c r="H5" s="93"/>
      <c r="I5" s="93"/>
      <c r="J5" s="177"/>
      <c r="K5" s="1"/>
      <c r="L5" s="176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4">
        <v>3.0</v>
      </c>
      <c r="C6" s="76"/>
      <c r="D6" s="76"/>
      <c r="E6" s="76"/>
      <c r="F6" s="76"/>
      <c r="G6" s="76"/>
      <c r="H6" s="76"/>
      <c r="I6" s="76"/>
      <c r="J6" s="175"/>
      <c r="K6" s="1"/>
      <c r="L6" s="176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4">
        <v>4.0</v>
      </c>
      <c r="C7" s="93"/>
      <c r="D7" s="93"/>
      <c r="E7" s="93"/>
      <c r="F7" s="93"/>
      <c r="G7" s="93"/>
      <c r="H7" s="93"/>
      <c r="I7" s="93"/>
      <c r="J7" s="177"/>
      <c r="K7" s="1"/>
      <c r="L7" s="176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4">
        <v>5.0</v>
      </c>
      <c r="C8" s="76"/>
      <c r="D8" s="76"/>
      <c r="E8" s="76"/>
      <c r="F8" s="76"/>
      <c r="G8" s="76"/>
      <c r="H8" s="76"/>
      <c r="I8" s="76"/>
      <c r="J8" s="175"/>
      <c r="K8" s="1"/>
      <c r="L8" s="176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4">
        <v>6.0</v>
      </c>
      <c r="C9" s="93"/>
      <c r="D9" s="93"/>
      <c r="E9" s="93"/>
      <c r="F9" s="93"/>
      <c r="G9" s="93"/>
      <c r="H9" s="93"/>
      <c r="I9" s="93"/>
      <c r="J9" s="177"/>
      <c r="K9" s="1"/>
      <c r="L9" s="176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4">
        <v>7.0</v>
      </c>
      <c r="C10" s="76"/>
      <c r="D10" s="76"/>
      <c r="E10" s="76"/>
      <c r="F10" s="76"/>
      <c r="G10" s="76"/>
      <c r="H10" s="76"/>
      <c r="I10" s="76"/>
      <c r="J10" s="175"/>
      <c r="K10" s="1"/>
      <c r="L10" s="176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4">
        <v>8.0</v>
      </c>
      <c r="C11" s="93"/>
      <c r="D11" s="93"/>
      <c r="E11" s="93"/>
      <c r="F11" s="93"/>
      <c r="G11" s="93"/>
      <c r="H11" s="93"/>
      <c r="I11" s="93"/>
      <c r="J11" s="177"/>
      <c r="K11" s="1"/>
      <c r="L11" s="176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4">
        <v>9.0</v>
      </c>
      <c r="C12" s="76"/>
      <c r="D12" s="76"/>
      <c r="E12" s="76"/>
      <c r="F12" s="76"/>
      <c r="G12" s="76"/>
      <c r="H12" s="76"/>
      <c r="I12" s="76"/>
      <c r="J12" s="175"/>
      <c r="K12" s="1"/>
      <c r="L12" s="176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4">
        <v>10.0</v>
      </c>
      <c r="C13" s="93"/>
      <c r="D13" s="93"/>
      <c r="E13" s="93"/>
      <c r="F13" s="93"/>
      <c r="G13" s="93"/>
      <c r="H13" s="93"/>
      <c r="I13" s="93"/>
      <c r="J13" s="177"/>
      <c r="K13" s="1"/>
      <c r="L13" s="176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4">
        <v>11.0</v>
      </c>
      <c r="C14" s="76"/>
      <c r="D14" s="76"/>
      <c r="E14" s="76"/>
      <c r="F14" s="76"/>
      <c r="G14" s="76"/>
      <c r="H14" s="76"/>
      <c r="I14" s="76"/>
      <c r="J14" s="175"/>
      <c r="K14" s="1"/>
      <c r="L14" s="176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4">
        <v>12.0</v>
      </c>
      <c r="C15" s="93"/>
      <c r="D15" s="93"/>
      <c r="E15" s="93"/>
      <c r="F15" s="93"/>
      <c r="G15" s="93"/>
      <c r="H15" s="93"/>
      <c r="I15" s="93"/>
      <c r="J15" s="177"/>
      <c r="K15" s="1"/>
      <c r="L15" s="176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4">
        <v>13.0</v>
      </c>
      <c r="C16" s="76"/>
      <c r="D16" s="76"/>
      <c r="E16" s="76"/>
      <c r="F16" s="76"/>
      <c r="G16" s="76"/>
      <c r="H16" s="76"/>
      <c r="I16" s="76"/>
      <c r="J16" s="175"/>
      <c r="K16" s="1"/>
      <c r="L16" s="176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4">
        <v>14.0</v>
      </c>
      <c r="C17" s="93"/>
      <c r="D17" s="93"/>
      <c r="E17" s="93"/>
      <c r="F17" s="93"/>
      <c r="G17" s="93"/>
      <c r="H17" s="93"/>
      <c r="I17" s="93"/>
      <c r="J17" s="177"/>
      <c r="K17" s="1"/>
      <c r="L17" s="176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4">
        <v>15.0</v>
      </c>
      <c r="C18" s="76"/>
      <c r="D18" s="76"/>
      <c r="E18" s="76"/>
      <c r="F18" s="76"/>
      <c r="G18" s="76"/>
      <c r="H18" s="76"/>
      <c r="I18" s="76"/>
      <c r="J18" s="175"/>
      <c r="K18" s="1"/>
      <c r="L18" s="176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4">
        <v>16.0</v>
      </c>
      <c r="C19" s="93"/>
      <c r="D19" s="93"/>
      <c r="E19" s="93"/>
      <c r="F19" s="93"/>
      <c r="G19" s="93"/>
      <c r="H19" s="93"/>
      <c r="I19" s="93"/>
      <c r="J19" s="177"/>
      <c r="K19" s="1"/>
      <c r="L19" s="176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4">
        <v>17.0</v>
      </c>
      <c r="C20" s="76"/>
      <c r="D20" s="76"/>
      <c r="E20" s="76"/>
      <c r="F20" s="76"/>
      <c r="G20" s="76"/>
      <c r="H20" s="76"/>
      <c r="I20" s="76"/>
      <c r="J20" s="175"/>
      <c r="K20" s="1"/>
      <c r="L20" s="176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4">
        <v>18.0</v>
      </c>
      <c r="C21" s="93"/>
      <c r="D21" s="93"/>
      <c r="E21" s="93"/>
      <c r="F21" s="93"/>
      <c r="G21" s="93"/>
      <c r="H21" s="93"/>
      <c r="I21" s="93"/>
      <c r="J21" s="177"/>
      <c r="K21" s="1"/>
      <c r="L21" s="176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4">
        <v>19.0</v>
      </c>
      <c r="C22" s="76"/>
      <c r="D22" s="76"/>
      <c r="E22" s="76"/>
      <c r="F22" s="76"/>
      <c r="G22" s="76"/>
      <c r="H22" s="76"/>
      <c r="I22" s="76"/>
      <c r="J22" s="175"/>
      <c r="K22" s="1"/>
      <c r="L22" s="176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4">
        <v>20.0</v>
      </c>
      <c r="C23" s="93"/>
      <c r="D23" s="93"/>
      <c r="E23" s="93"/>
      <c r="F23" s="93"/>
      <c r="G23" s="93"/>
      <c r="H23" s="93"/>
      <c r="I23" s="93"/>
      <c r="J23" s="177"/>
      <c r="K23" s="1"/>
      <c r="L23" s="176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4">
        <v>21.0</v>
      </c>
      <c r="C24" s="76"/>
      <c r="D24" s="76"/>
      <c r="E24" s="76"/>
      <c r="F24" s="76"/>
      <c r="G24" s="76"/>
      <c r="H24" s="76"/>
      <c r="I24" s="76"/>
      <c r="J24" s="175"/>
      <c r="K24" s="1"/>
      <c r="L24" s="176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4">
        <v>22.0</v>
      </c>
      <c r="C25" s="93"/>
      <c r="D25" s="93"/>
      <c r="E25" s="93"/>
      <c r="F25" s="93"/>
      <c r="G25" s="93"/>
      <c r="H25" s="93"/>
      <c r="I25" s="93"/>
      <c r="J25" s="177"/>
      <c r="K25" s="1"/>
      <c r="L25" s="176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4">
        <v>23.0</v>
      </c>
      <c r="C26" s="76"/>
      <c r="D26" s="76"/>
      <c r="E26" s="76"/>
      <c r="F26" s="76"/>
      <c r="G26" s="76"/>
      <c r="H26" s="76"/>
      <c r="I26" s="76"/>
      <c r="J26" s="175"/>
      <c r="K26" s="1"/>
      <c r="L26" s="176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4">
        <v>24.0</v>
      </c>
      <c r="C27" s="93"/>
      <c r="D27" s="93"/>
      <c r="E27" s="93"/>
      <c r="F27" s="93"/>
      <c r="G27" s="93"/>
      <c r="H27" s="93"/>
      <c r="I27" s="93"/>
      <c r="J27" s="177"/>
      <c r="K27" s="1"/>
      <c r="L27" s="176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4">
        <v>25.0</v>
      </c>
      <c r="C28" s="76"/>
      <c r="D28" s="76"/>
      <c r="E28" s="76"/>
      <c r="F28" s="76"/>
      <c r="G28" s="76"/>
      <c r="H28" s="76"/>
      <c r="I28" s="76"/>
      <c r="J28" s="175"/>
      <c r="K28" s="1"/>
      <c r="L28" s="176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4">
        <v>26.0</v>
      </c>
      <c r="C29" s="93"/>
      <c r="D29" s="93"/>
      <c r="E29" s="93"/>
      <c r="F29" s="93"/>
      <c r="G29" s="93"/>
      <c r="H29" s="93"/>
      <c r="I29" s="93"/>
      <c r="J29" s="177"/>
      <c r="K29" s="1"/>
      <c r="L29" s="176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4">
        <v>27.0</v>
      </c>
      <c r="C30" s="76"/>
      <c r="D30" s="76"/>
      <c r="E30" s="76"/>
      <c r="F30" s="76"/>
      <c r="G30" s="76"/>
      <c r="H30" s="76"/>
      <c r="I30" s="76"/>
      <c r="J30" s="175"/>
      <c r="K30" s="1"/>
      <c r="L30" s="176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4">
        <v>28.0</v>
      </c>
      <c r="C31" s="93"/>
      <c r="D31" s="93"/>
      <c r="E31" s="93"/>
      <c r="F31" s="93"/>
      <c r="G31" s="93"/>
      <c r="H31" s="93"/>
      <c r="I31" s="93"/>
      <c r="J31" s="177"/>
      <c r="K31" s="1"/>
      <c r="L31" s="176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4">
        <v>29.0</v>
      </c>
      <c r="C32" s="76"/>
      <c r="D32" s="76"/>
      <c r="E32" s="76"/>
      <c r="F32" s="76"/>
      <c r="G32" s="76"/>
      <c r="H32" s="76"/>
      <c r="I32" s="76"/>
      <c r="J32" s="175"/>
      <c r="K32" s="1"/>
      <c r="L32" s="176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4">
        <v>30.0</v>
      </c>
      <c r="C33" s="93"/>
      <c r="D33" s="93"/>
      <c r="E33" s="93"/>
      <c r="F33" s="93"/>
      <c r="G33" s="93"/>
      <c r="H33" s="93"/>
      <c r="I33" s="93"/>
      <c r="J33" s="177"/>
      <c r="K33" s="1"/>
      <c r="L33" s="176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4">
        <v>31.0</v>
      </c>
      <c r="C34" s="76"/>
      <c r="D34" s="76"/>
      <c r="E34" s="76"/>
      <c r="F34" s="76"/>
      <c r="G34" s="76"/>
      <c r="H34" s="76"/>
      <c r="I34" s="76"/>
      <c r="J34" s="175"/>
      <c r="K34" s="1"/>
      <c r="L34" s="176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78" t="s">
        <v>345</v>
      </c>
      <c r="C35" s="73">
        <f t="shared" ref="C35:J35" si="2">SUM(C4:C34)</f>
        <v>0</v>
      </c>
      <c r="D35" s="73">
        <f t="shared" si="2"/>
        <v>0</v>
      </c>
      <c r="E35" s="73">
        <f t="shared" si="2"/>
        <v>0</v>
      </c>
      <c r="F35" s="73">
        <f t="shared" si="2"/>
        <v>0</v>
      </c>
      <c r="G35" s="73">
        <f t="shared" si="2"/>
        <v>0</v>
      </c>
      <c r="H35" s="73">
        <f t="shared" si="2"/>
        <v>0</v>
      </c>
      <c r="I35" s="73">
        <f t="shared" si="2"/>
        <v>0</v>
      </c>
      <c r="J35" s="179">
        <f t="shared" si="2"/>
        <v>0</v>
      </c>
      <c r="K35" s="1"/>
      <c r="L35" s="180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1" t="s">
        <v>346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58" t="s">
        <v>158</v>
      </c>
      <c r="C38" s="65">
        <f>C35</f>
        <v>0</v>
      </c>
      <c r="D38" s="92" t="s">
        <v>430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58" t="s">
        <v>164</v>
      </c>
      <c r="C39" s="65">
        <f>D35</f>
        <v>0</v>
      </c>
      <c r="D39" s="92" t="s">
        <v>431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58" t="s">
        <v>167</v>
      </c>
      <c r="C40" s="65">
        <f>E35</f>
        <v>0</v>
      </c>
      <c r="D40" s="92" t="s">
        <v>432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58" t="s">
        <v>169</v>
      </c>
      <c r="C41" s="65">
        <f>F35</f>
        <v>0</v>
      </c>
      <c r="D41" s="92" t="s">
        <v>433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58" t="s">
        <v>351</v>
      </c>
      <c r="C42" s="65">
        <f>G35</f>
        <v>0</v>
      </c>
      <c r="D42" s="92" t="s">
        <v>434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58" t="s">
        <v>174</v>
      </c>
      <c r="C43" s="65">
        <f>H35</f>
        <v>0</v>
      </c>
      <c r="D43" s="92" t="s">
        <v>435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58" t="s">
        <v>342</v>
      </c>
      <c r="C44" s="65">
        <f>I35</f>
        <v>0</v>
      </c>
      <c r="D44" s="92" t="s">
        <v>436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58" t="s">
        <v>355</v>
      </c>
      <c r="C45" s="182">
        <f>J35</f>
        <v>0</v>
      </c>
      <c r="D45" s="92" t="s">
        <v>437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4" t="s">
        <v>438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2" t="s">
        <v>341</v>
      </c>
      <c r="C3" s="102" t="s">
        <v>158</v>
      </c>
      <c r="D3" s="102" t="s">
        <v>164</v>
      </c>
      <c r="E3" s="102" t="s">
        <v>167</v>
      </c>
      <c r="F3" s="102" t="s">
        <v>169</v>
      </c>
      <c r="G3" s="102" t="s">
        <v>172</v>
      </c>
      <c r="H3" s="102" t="s">
        <v>174</v>
      </c>
      <c r="I3" s="102" t="s">
        <v>342</v>
      </c>
      <c r="J3" s="102" t="s">
        <v>343</v>
      </c>
      <c r="K3" s="102"/>
      <c r="L3" s="102" t="s">
        <v>344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4">
        <v>1.0</v>
      </c>
      <c r="C4" s="76"/>
      <c r="D4" s="76"/>
      <c r="E4" s="76"/>
      <c r="F4" s="76"/>
      <c r="G4" s="76"/>
      <c r="H4" s="76"/>
      <c r="I4" s="76"/>
      <c r="J4" s="175"/>
      <c r="K4" s="1"/>
      <c r="L4" s="176">
        <f t="shared" ref="L4:L31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4">
        <v>2.0</v>
      </c>
      <c r="C5" s="93"/>
      <c r="D5" s="93"/>
      <c r="E5" s="93"/>
      <c r="F5" s="93"/>
      <c r="G5" s="93"/>
      <c r="H5" s="93"/>
      <c r="I5" s="93"/>
      <c r="J5" s="177"/>
      <c r="K5" s="1"/>
      <c r="L5" s="176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4">
        <v>3.0</v>
      </c>
      <c r="C6" s="76"/>
      <c r="D6" s="76"/>
      <c r="E6" s="76"/>
      <c r="F6" s="76"/>
      <c r="G6" s="76"/>
      <c r="H6" s="76"/>
      <c r="I6" s="76"/>
      <c r="J6" s="175"/>
      <c r="K6" s="1"/>
      <c r="L6" s="176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4">
        <v>4.0</v>
      </c>
      <c r="C7" s="93"/>
      <c r="D7" s="93"/>
      <c r="E7" s="93"/>
      <c r="F7" s="93"/>
      <c r="G7" s="93"/>
      <c r="H7" s="93"/>
      <c r="I7" s="93"/>
      <c r="J7" s="177"/>
      <c r="K7" s="1"/>
      <c r="L7" s="176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4">
        <v>5.0</v>
      </c>
      <c r="C8" s="76"/>
      <c r="D8" s="76"/>
      <c r="E8" s="76"/>
      <c r="F8" s="76"/>
      <c r="G8" s="76"/>
      <c r="H8" s="76"/>
      <c r="I8" s="76"/>
      <c r="J8" s="175"/>
      <c r="K8" s="1"/>
      <c r="L8" s="176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4">
        <v>6.0</v>
      </c>
      <c r="C9" s="93"/>
      <c r="D9" s="93"/>
      <c r="E9" s="93"/>
      <c r="F9" s="93"/>
      <c r="G9" s="93"/>
      <c r="H9" s="93"/>
      <c r="I9" s="93"/>
      <c r="J9" s="177"/>
      <c r="K9" s="1"/>
      <c r="L9" s="176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4">
        <v>7.0</v>
      </c>
      <c r="C10" s="76"/>
      <c r="D10" s="76"/>
      <c r="E10" s="76"/>
      <c r="F10" s="76"/>
      <c r="G10" s="76"/>
      <c r="H10" s="76"/>
      <c r="I10" s="76"/>
      <c r="J10" s="175"/>
      <c r="K10" s="1"/>
      <c r="L10" s="176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4">
        <v>8.0</v>
      </c>
      <c r="C11" s="93"/>
      <c r="D11" s="93"/>
      <c r="E11" s="93"/>
      <c r="F11" s="93"/>
      <c r="G11" s="93"/>
      <c r="H11" s="93"/>
      <c r="I11" s="93"/>
      <c r="J11" s="177"/>
      <c r="K11" s="1"/>
      <c r="L11" s="176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4">
        <v>9.0</v>
      </c>
      <c r="C12" s="76"/>
      <c r="D12" s="76"/>
      <c r="E12" s="76"/>
      <c r="F12" s="76"/>
      <c r="G12" s="76"/>
      <c r="H12" s="76"/>
      <c r="I12" s="76"/>
      <c r="J12" s="175"/>
      <c r="K12" s="1"/>
      <c r="L12" s="176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4">
        <v>10.0</v>
      </c>
      <c r="C13" s="93"/>
      <c r="D13" s="93"/>
      <c r="E13" s="93"/>
      <c r="F13" s="93"/>
      <c r="G13" s="93"/>
      <c r="H13" s="93"/>
      <c r="I13" s="93"/>
      <c r="J13" s="177"/>
      <c r="K13" s="1"/>
      <c r="L13" s="176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4">
        <v>11.0</v>
      </c>
      <c r="C14" s="76"/>
      <c r="D14" s="76"/>
      <c r="E14" s="76"/>
      <c r="F14" s="76"/>
      <c r="G14" s="76"/>
      <c r="H14" s="76"/>
      <c r="I14" s="76"/>
      <c r="J14" s="175"/>
      <c r="K14" s="1"/>
      <c r="L14" s="176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4">
        <v>12.0</v>
      </c>
      <c r="C15" s="93"/>
      <c r="D15" s="93"/>
      <c r="E15" s="93"/>
      <c r="F15" s="93"/>
      <c r="G15" s="93"/>
      <c r="H15" s="93"/>
      <c r="I15" s="93"/>
      <c r="J15" s="177"/>
      <c r="K15" s="1"/>
      <c r="L15" s="176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4">
        <v>13.0</v>
      </c>
      <c r="C16" s="76"/>
      <c r="D16" s="76"/>
      <c r="E16" s="76"/>
      <c r="F16" s="76"/>
      <c r="G16" s="76"/>
      <c r="H16" s="76"/>
      <c r="I16" s="76"/>
      <c r="J16" s="175"/>
      <c r="K16" s="1"/>
      <c r="L16" s="176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4">
        <v>14.0</v>
      </c>
      <c r="C17" s="93"/>
      <c r="D17" s="93"/>
      <c r="E17" s="93"/>
      <c r="F17" s="93"/>
      <c r="G17" s="93"/>
      <c r="H17" s="93"/>
      <c r="I17" s="93"/>
      <c r="J17" s="177"/>
      <c r="K17" s="1"/>
      <c r="L17" s="176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4">
        <v>15.0</v>
      </c>
      <c r="C18" s="76"/>
      <c r="D18" s="76"/>
      <c r="E18" s="76"/>
      <c r="F18" s="76"/>
      <c r="G18" s="76"/>
      <c r="H18" s="76"/>
      <c r="I18" s="76"/>
      <c r="J18" s="175"/>
      <c r="K18" s="1"/>
      <c r="L18" s="176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4">
        <v>16.0</v>
      </c>
      <c r="C19" s="93"/>
      <c r="D19" s="93"/>
      <c r="E19" s="93"/>
      <c r="F19" s="93"/>
      <c r="G19" s="93"/>
      <c r="H19" s="93"/>
      <c r="I19" s="93"/>
      <c r="J19" s="177"/>
      <c r="K19" s="1"/>
      <c r="L19" s="176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4">
        <v>17.0</v>
      </c>
      <c r="C20" s="76"/>
      <c r="D20" s="76"/>
      <c r="E20" s="76"/>
      <c r="F20" s="76"/>
      <c r="G20" s="76"/>
      <c r="H20" s="76"/>
      <c r="I20" s="76"/>
      <c r="J20" s="175"/>
      <c r="K20" s="1"/>
      <c r="L20" s="176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4">
        <v>18.0</v>
      </c>
      <c r="C21" s="93"/>
      <c r="D21" s="93"/>
      <c r="E21" s="93"/>
      <c r="F21" s="93"/>
      <c r="G21" s="93"/>
      <c r="H21" s="93"/>
      <c r="I21" s="93"/>
      <c r="J21" s="177"/>
      <c r="K21" s="1"/>
      <c r="L21" s="176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4">
        <v>19.0</v>
      </c>
      <c r="C22" s="76"/>
      <c r="D22" s="76"/>
      <c r="E22" s="76"/>
      <c r="F22" s="76"/>
      <c r="G22" s="76"/>
      <c r="H22" s="76"/>
      <c r="I22" s="76"/>
      <c r="J22" s="175"/>
      <c r="K22" s="1"/>
      <c r="L22" s="176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4">
        <v>20.0</v>
      </c>
      <c r="C23" s="93"/>
      <c r="D23" s="93"/>
      <c r="E23" s="93"/>
      <c r="F23" s="93"/>
      <c r="G23" s="93"/>
      <c r="H23" s="93"/>
      <c r="I23" s="93"/>
      <c r="J23" s="177"/>
      <c r="K23" s="1"/>
      <c r="L23" s="176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4">
        <v>21.0</v>
      </c>
      <c r="C24" s="76"/>
      <c r="D24" s="76"/>
      <c r="E24" s="76"/>
      <c r="F24" s="76"/>
      <c r="G24" s="76"/>
      <c r="H24" s="76"/>
      <c r="I24" s="76"/>
      <c r="J24" s="175"/>
      <c r="K24" s="1"/>
      <c r="L24" s="176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4">
        <v>22.0</v>
      </c>
      <c r="C25" s="93"/>
      <c r="D25" s="93"/>
      <c r="E25" s="93"/>
      <c r="F25" s="93"/>
      <c r="G25" s="93"/>
      <c r="H25" s="93"/>
      <c r="I25" s="93"/>
      <c r="J25" s="177"/>
      <c r="K25" s="1"/>
      <c r="L25" s="176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4">
        <v>23.0</v>
      </c>
      <c r="C26" s="76"/>
      <c r="D26" s="76"/>
      <c r="E26" s="76"/>
      <c r="F26" s="76"/>
      <c r="G26" s="76"/>
      <c r="H26" s="76"/>
      <c r="I26" s="76"/>
      <c r="J26" s="175"/>
      <c r="K26" s="1"/>
      <c r="L26" s="176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4">
        <v>24.0</v>
      </c>
      <c r="C27" s="93"/>
      <c r="D27" s="93"/>
      <c r="E27" s="93"/>
      <c r="F27" s="93"/>
      <c r="G27" s="93"/>
      <c r="H27" s="93"/>
      <c r="I27" s="93"/>
      <c r="J27" s="177"/>
      <c r="K27" s="1"/>
      <c r="L27" s="176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4">
        <v>25.0</v>
      </c>
      <c r="C28" s="76"/>
      <c r="D28" s="76"/>
      <c r="E28" s="76"/>
      <c r="F28" s="76"/>
      <c r="G28" s="76"/>
      <c r="H28" s="76"/>
      <c r="I28" s="76"/>
      <c r="J28" s="175"/>
      <c r="K28" s="1"/>
      <c r="L28" s="176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4">
        <v>26.0</v>
      </c>
      <c r="C29" s="93"/>
      <c r="D29" s="93"/>
      <c r="E29" s="93"/>
      <c r="F29" s="93"/>
      <c r="G29" s="93"/>
      <c r="H29" s="93"/>
      <c r="I29" s="93"/>
      <c r="J29" s="177"/>
      <c r="K29" s="1"/>
      <c r="L29" s="176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4">
        <v>27.0</v>
      </c>
      <c r="C30" s="76"/>
      <c r="D30" s="76"/>
      <c r="E30" s="76"/>
      <c r="F30" s="76"/>
      <c r="G30" s="76"/>
      <c r="H30" s="76"/>
      <c r="I30" s="76"/>
      <c r="J30" s="175"/>
      <c r="K30" s="1"/>
      <c r="L30" s="176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4">
        <v>28.0</v>
      </c>
      <c r="C31" s="93"/>
      <c r="D31" s="93"/>
      <c r="E31" s="93"/>
      <c r="F31" s="93"/>
      <c r="G31" s="93"/>
      <c r="H31" s="93"/>
      <c r="I31" s="93"/>
      <c r="J31" s="177"/>
      <c r="K31" s="1"/>
      <c r="L31" s="176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8" t="s">
        <v>345</v>
      </c>
      <c r="C32" s="73">
        <f t="shared" ref="C32:J32" si="2">SUM(C4:C31)</f>
        <v>0</v>
      </c>
      <c r="D32" s="73">
        <f t="shared" si="2"/>
        <v>0</v>
      </c>
      <c r="E32" s="73">
        <f t="shared" si="2"/>
        <v>0</v>
      </c>
      <c r="F32" s="73">
        <f t="shared" si="2"/>
        <v>0</v>
      </c>
      <c r="G32" s="73">
        <f t="shared" si="2"/>
        <v>0</v>
      </c>
      <c r="H32" s="73">
        <f t="shared" si="2"/>
        <v>0</v>
      </c>
      <c r="I32" s="73">
        <f t="shared" si="2"/>
        <v>0</v>
      </c>
      <c r="J32" s="179">
        <f t="shared" si="2"/>
        <v>0</v>
      </c>
      <c r="K32" s="1"/>
      <c r="L32" s="180">
        <f>SUM(L4:L31)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1" t="s">
        <v>346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58" t="s">
        <v>158</v>
      </c>
      <c r="C35" s="65">
        <f>C32</f>
        <v>0</v>
      </c>
      <c r="D35" s="92" t="s">
        <v>439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58" t="s">
        <v>164</v>
      </c>
      <c r="C36" s="65">
        <f>D32</f>
        <v>0</v>
      </c>
      <c r="D36" s="92" t="s">
        <v>440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58" t="s">
        <v>167</v>
      </c>
      <c r="C37" s="65">
        <f>E32</f>
        <v>0</v>
      </c>
      <c r="D37" s="92" t="s">
        <v>441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58" t="s">
        <v>169</v>
      </c>
      <c r="C38" s="65">
        <f>F32</f>
        <v>0</v>
      </c>
      <c r="D38" s="92" t="s">
        <v>442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58" t="s">
        <v>351</v>
      </c>
      <c r="C39" s="65">
        <f>G32</f>
        <v>0</v>
      </c>
      <c r="D39" s="92" t="s">
        <v>443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58" t="s">
        <v>174</v>
      </c>
      <c r="C40" s="65">
        <f>H32</f>
        <v>0</v>
      </c>
      <c r="D40" s="92" t="s">
        <v>444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58" t="s">
        <v>342</v>
      </c>
      <c r="C41" s="65">
        <f>I32</f>
        <v>0</v>
      </c>
      <c r="D41" s="92" t="s">
        <v>445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58" t="s">
        <v>355</v>
      </c>
      <c r="C42" s="182">
        <f>J32</f>
        <v>0</v>
      </c>
      <c r="D42" s="92" t="s">
        <v>446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4" t="s">
        <v>447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2" t="s">
        <v>341</v>
      </c>
      <c r="C3" s="102" t="s">
        <v>158</v>
      </c>
      <c r="D3" s="102" t="s">
        <v>164</v>
      </c>
      <c r="E3" s="102" t="s">
        <v>167</v>
      </c>
      <c r="F3" s="102" t="s">
        <v>169</v>
      </c>
      <c r="G3" s="102" t="s">
        <v>172</v>
      </c>
      <c r="H3" s="102" t="s">
        <v>174</v>
      </c>
      <c r="I3" s="102" t="s">
        <v>342</v>
      </c>
      <c r="J3" s="102" t="s">
        <v>343</v>
      </c>
      <c r="K3" s="102"/>
      <c r="L3" s="102" t="s">
        <v>344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4">
        <v>1.0</v>
      </c>
      <c r="C4" s="76"/>
      <c r="D4" s="76"/>
      <c r="E4" s="76"/>
      <c r="F4" s="76"/>
      <c r="G4" s="76"/>
      <c r="H4" s="76"/>
      <c r="I4" s="76"/>
      <c r="J4" s="175"/>
      <c r="K4" s="1"/>
      <c r="L4" s="176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4">
        <v>2.0</v>
      </c>
      <c r="C5" s="93"/>
      <c r="D5" s="93"/>
      <c r="E5" s="93"/>
      <c r="F5" s="93"/>
      <c r="G5" s="93"/>
      <c r="H5" s="93"/>
      <c r="I5" s="93"/>
      <c r="J5" s="177"/>
      <c r="K5" s="1"/>
      <c r="L5" s="176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4">
        <v>3.0</v>
      </c>
      <c r="C6" s="76"/>
      <c r="D6" s="76"/>
      <c r="E6" s="76"/>
      <c r="F6" s="76"/>
      <c r="G6" s="76"/>
      <c r="H6" s="76"/>
      <c r="I6" s="76"/>
      <c r="J6" s="175"/>
      <c r="K6" s="1"/>
      <c r="L6" s="176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4">
        <v>4.0</v>
      </c>
      <c r="C7" s="93"/>
      <c r="D7" s="93"/>
      <c r="E7" s="93"/>
      <c r="F7" s="93"/>
      <c r="G7" s="93"/>
      <c r="H7" s="93"/>
      <c r="I7" s="93"/>
      <c r="J7" s="177"/>
      <c r="K7" s="1"/>
      <c r="L7" s="176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4">
        <v>5.0</v>
      </c>
      <c r="C8" s="76"/>
      <c r="D8" s="76"/>
      <c r="E8" s="76"/>
      <c r="F8" s="76"/>
      <c r="G8" s="76"/>
      <c r="H8" s="76"/>
      <c r="I8" s="76"/>
      <c r="J8" s="175"/>
      <c r="K8" s="1"/>
      <c r="L8" s="176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4">
        <v>6.0</v>
      </c>
      <c r="C9" s="93"/>
      <c r="D9" s="93"/>
      <c r="E9" s="93"/>
      <c r="F9" s="93"/>
      <c r="G9" s="93"/>
      <c r="H9" s="93"/>
      <c r="I9" s="93"/>
      <c r="J9" s="177"/>
      <c r="K9" s="1"/>
      <c r="L9" s="176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4">
        <v>7.0</v>
      </c>
      <c r="C10" s="76"/>
      <c r="D10" s="76"/>
      <c r="E10" s="76"/>
      <c r="F10" s="76"/>
      <c r="G10" s="76"/>
      <c r="H10" s="76"/>
      <c r="I10" s="76"/>
      <c r="J10" s="175"/>
      <c r="K10" s="1"/>
      <c r="L10" s="176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4">
        <v>8.0</v>
      </c>
      <c r="C11" s="93"/>
      <c r="D11" s="93"/>
      <c r="E11" s="93"/>
      <c r="F11" s="93"/>
      <c r="G11" s="93"/>
      <c r="H11" s="93"/>
      <c r="I11" s="93"/>
      <c r="J11" s="177"/>
      <c r="K11" s="1"/>
      <c r="L11" s="176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4">
        <v>9.0</v>
      </c>
      <c r="C12" s="76"/>
      <c r="D12" s="76"/>
      <c r="E12" s="76"/>
      <c r="F12" s="76"/>
      <c r="G12" s="76"/>
      <c r="H12" s="76"/>
      <c r="I12" s="76"/>
      <c r="J12" s="175"/>
      <c r="K12" s="1"/>
      <c r="L12" s="176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4">
        <v>10.0</v>
      </c>
      <c r="C13" s="93"/>
      <c r="D13" s="93"/>
      <c r="E13" s="93"/>
      <c r="F13" s="93"/>
      <c r="G13" s="93"/>
      <c r="H13" s="93"/>
      <c r="I13" s="93"/>
      <c r="J13" s="177"/>
      <c r="K13" s="1"/>
      <c r="L13" s="176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4">
        <v>11.0</v>
      </c>
      <c r="C14" s="76"/>
      <c r="D14" s="76"/>
      <c r="E14" s="76"/>
      <c r="F14" s="76"/>
      <c r="G14" s="76"/>
      <c r="H14" s="76"/>
      <c r="I14" s="76"/>
      <c r="J14" s="175"/>
      <c r="K14" s="1"/>
      <c r="L14" s="176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4">
        <v>12.0</v>
      </c>
      <c r="C15" s="93"/>
      <c r="D15" s="93"/>
      <c r="E15" s="93"/>
      <c r="F15" s="93"/>
      <c r="G15" s="93"/>
      <c r="H15" s="93"/>
      <c r="I15" s="93"/>
      <c r="J15" s="177"/>
      <c r="K15" s="1"/>
      <c r="L15" s="176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4">
        <v>13.0</v>
      </c>
      <c r="C16" s="76"/>
      <c r="D16" s="76"/>
      <c r="E16" s="76"/>
      <c r="F16" s="76"/>
      <c r="G16" s="76"/>
      <c r="H16" s="76"/>
      <c r="I16" s="76"/>
      <c r="J16" s="175"/>
      <c r="K16" s="1"/>
      <c r="L16" s="176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4">
        <v>14.0</v>
      </c>
      <c r="C17" s="93"/>
      <c r="D17" s="93"/>
      <c r="E17" s="93"/>
      <c r="F17" s="93"/>
      <c r="G17" s="93"/>
      <c r="H17" s="93"/>
      <c r="I17" s="93"/>
      <c r="J17" s="177"/>
      <c r="K17" s="1"/>
      <c r="L17" s="176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4">
        <v>15.0</v>
      </c>
      <c r="C18" s="76"/>
      <c r="D18" s="76"/>
      <c r="E18" s="76"/>
      <c r="F18" s="76"/>
      <c r="G18" s="76"/>
      <c r="H18" s="76"/>
      <c r="I18" s="76"/>
      <c r="J18" s="175"/>
      <c r="K18" s="1"/>
      <c r="L18" s="176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4">
        <v>16.0</v>
      </c>
      <c r="C19" s="93"/>
      <c r="D19" s="93"/>
      <c r="E19" s="93"/>
      <c r="F19" s="93"/>
      <c r="G19" s="93"/>
      <c r="H19" s="93"/>
      <c r="I19" s="93"/>
      <c r="J19" s="177"/>
      <c r="K19" s="1"/>
      <c r="L19" s="176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4">
        <v>17.0</v>
      </c>
      <c r="C20" s="76"/>
      <c r="D20" s="76"/>
      <c r="E20" s="76"/>
      <c r="F20" s="76"/>
      <c r="G20" s="76"/>
      <c r="H20" s="76"/>
      <c r="I20" s="76"/>
      <c r="J20" s="175"/>
      <c r="K20" s="1"/>
      <c r="L20" s="176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4">
        <v>18.0</v>
      </c>
      <c r="C21" s="93"/>
      <c r="D21" s="93"/>
      <c r="E21" s="93"/>
      <c r="F21" s="93"/>
      <c r="G21" s="93"/>
      <c r="H21" s="93"/>
      <c r="I21" s="93"/>
      <c r="J21" s="177"/>
      <c r="K21" s="1"/>
      <c r="L21" s="176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4">
        <v>19.0</v>
      </c>
      <c r="C22" s="76"/>
      <c r="D22" s="76"/>
      <c r="E22" s="76"/>
      <c r="F22" s="76"/>
      <c r="G22" s="76"/>
      <c r="H22" s="76"/>
      <c r="I22" s="76"/>
      <c r="J22" s="175"/>
      <c r="K22" s="1"/>
      <c r="L22" s="176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4">
        <v>20.0</v>
      </c>
      <c r="C23" s="93"/>
      <c r="D23" s="93"/>
      <c r="E23" s="93"/>
      <c r="F23" s="93"/>
      <c r="G23" s="93"/>
      <c r="H23" s="93"/>
      <c r="I23" s="93"/>
      <c r="J23" s="177"/>
      <c r="K23" s="1"/>
      <c r="L23" s="176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4">
        <v>21.0</v>
      </c>
      <c r="C24" s="76"/>
      <c r="D24" s="76"/>
      <c r="E24" s="76"/>
      <c r="F24" s="76"/>
      <c r="G24" s="76"/>
      <c r="H24" s="76"/>
      <c r="I24" s="76"/>
      <c r="J24" s="175"/>
      <c r="K24" s="1"/>
      <c r="L24" s="176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4">
        <v>22.0</v>
      </c>
      <c r="C25" s="93"/>
      <c r="D25" s="93"/>
      <c r="E25" s="93"/>
      <c r="F25" s="93"/>
      <c r="G25" s="93"/>
      <c r="H25" s="93"/>
      <c r="I25" s="93"/>
      <c r="J25" s="177"/>
      <c r="K25" s="1"/>
      <c r="L25" s="176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4">
        <v>23.0</v>
      </c>
      <c r="C26" s="76"/>
      <c r="D26" s="76"/>
      <c r="E26" s="76"/>
      <c r="F26" s="76"/>
      <c r="G26" s="76"/>
      <c r="H26" s="76"/>
      <c r="I26" s="76"/>
      <c r="J26" s="175"/>
      <c r="K26" s="1"/>
      <c r="L26" s="176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4">
        <v>24.0</v>
      </c>
      <c r="C27" s="93"/>
      <c r="D27" s="93"/>
      <c r="E27" s="93"/>
      <c r="F27" s="93"/>
      <c r="G27" s="93"/>
      <c r="H27" s="93"/>
      <c r="I27" s="93"/>
      <c r="J27" s="177"/>
      <c r="K27" s="1"/>
      <c r="L27" s="176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4">
        <v>25.0</v>
      </c>
      <c r="C28" s="76"/>
      <c r="D28" s="76"/>
      <c r="E28" s="76"/>
      <c r="F28" s="76"/>
      <c r="G28" s="76"/>
      <c r="H28" s="76"/>
      <c r="I28" s="76"/>
      <c r="J28" s="175"/>
      <c r="K28" s="1"/>
      <c r="L28" s="176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4">
        <v>26.0</v>
      </c>
      <c r="C29" s="93"/>
      <c r="D29" s="93"/>
      <c r="E29" s="93"/>
      <c r="F29" s="93"/>
      <c r="G29" s="93"/>
      <c r="H29" s="93"/>
      <c r="I29" s="93"/>
      <c r="J29" s="177"/>
      <c r="K29" s="1"/>
      <c r="L29" s="176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4">
        <v>27.0</v>
      </c>
      <c r="C30" s="76"/>
      <c r="D30" s="76"/>
      <c r="E30" s="76"/>
      <c r="F30" s="76"/>
      <c r="G30" s="76"/>
      <c r="H30" s="76"/>
      <c r="I30" s="76"/>
      <c r="J30" s="175"/>
      <c r="K30" s="1"/>
      <c r="L30" s="176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4">
        <v>28.0</v>
      </c>
      <c r="C31" s="93"/>
      <c r="D31" s="93"/>
      <c r="E31" s="93"/>
      <c r="F31" s="93"/>
      <c r="G31" s="93"/>
      <c r="H31" s="93"/>
      <c r="I31" s="93"/>
      <c r="J31" s="177"/>
      <c r="K31" s="1"/>
      <c r="L31" s="176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4">
        <v>29.0</v>
      </c>
      <c r="C32" s="76"/>
      <c r="D32" s="76"/>
      <c r="E32" s="76"/>
      <c r="F32" s="76"/>
      <c r="G32" s="76"/>
      <c r="H32" s="76"/>
      <c r="I32" s="76"/>
      <c r="J32" s="175"/>
      <c r="K32" s="1"/>
      <c r="L32" s="176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4">
        <v>30.0</v>
      </c>
      <c r="C33" s="93"/>
      <c r="D33" s="93"/>
      <c r="E33" s="93"/>
      <c r="F33" s="93"/>
      <c r="G33" s="93"/>
      <c r="H33" s="93"/>
      <c r="I33" s="93"/>
      <c r="J33" s="177"/>
      <c r="K33" s="1"/>
      <c r="L33" s="176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4">
        <v>31.0</v>
      </c>
      <c r="C34" s="76"/>
      <c r="D34" s="76"/>
      <c r="E34" s="76"/>
      <c r="F34" s="76"/>
      <c r="G34" s="76"/>
      <c r="H34" s="76"/>
      <c r="I34" s="76"/>
      <c r="J34" s="175"/>
      <c r="K34" s="1"/>
      <c r="L34" s="176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78" t="s">
        <v>345</v>
      </c>
      <c r="C35" s="73">
        <f t="shared" ref="C35:J35" si="2">SUM(C4:C34)</f>
        <v>0</v>
      </c>
      <c r="D35" s="73">
        <f t="shared" si="2"/>
        <v>0</v>
      </c>
      <c r="E35" s="73">
        <f t="shared" si="2"/>
        <v>0</v>
      </c>
      <c r="F35" s="73">
        <f t="shared" si="2"/>
        <v>0</v>
      </c>
      <c r="G35" s="73">
        <f t="shared" si="2"/>
        <v>0</v>
      </c>
      <c r="H35" s="73">
        <f t="shared" si="2"/>
        <v>0</v>
      </c>
      <c r="I35" s="73">
        <f t="shared" si="2"/>
        <v>0</v>
      </c>
      <c r="J35" s="179">
        <f t="shared" si="2"/>
        <v>0</v>
      </c>
      <c r="K35" s="1"/>
      <c r="L35" s="180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1" t="s">
        <v>346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58" t="s">
        <v>158</v>
      </c>
      <c r="C38" s="65">
        <f>C35</f>
        <v>0</v>
      </c>
      <c r="D38" s="92" t="s">
        <v>448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58" t="s">
        <v>164</v>
      </c>
      <c r="C39" s="65">
        <f>D35</f>
        <v>0</v>
      </c>
      <c r="D39" s="92" t="s">
        <v>449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58" t="s">
        <v>167</v>
      </c>
      <c r="C40" s="65">
        <f>E35</f>
        <v>0</v>
      </c>
      <c r="D40" s="92" t="s">
        <v>450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58" t="s">
        <v>169</v>
      </c>
      <c r="C41" s="65">
        <f>F35</f>
        <v>0</v>
      </c>
      <c r="D41" s="92" t="s">
        <v>451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58" t="s">
        <v>351</v>
      </c>
      <c r="C42" s="65">
        <f>G35</f>
        <v>0</v>
      </c>
      <c r="D42" s="92" t="s">
        <v>452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58" t="s">
        <v>174</v>
      </c>
      <c r="C43" s="65">
        <f>H35</f>
        <v>0</v>
      </c>
      <c r="D43" s="92" t="s">
        <v>453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58" t="s">
        <v>342</v>
      </c>
      <c r="C44" s="65">
        <f>I35</f>
        <v>0</v>
      </c>
      <c r="D44" s="92" t="s">
        <v>454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58" t="s">
        <v>355</v>
      </c>
      <c r="C45" s="182">
        <f>J35</f>
        <v>0</v>
      </c>
      <c r="D45" s="92" t="s">
        <v>455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148C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3" width="14.0"/>
    <col customWidth="1" min="4" max="4" width="12.0"/>
    <col customWidth="1" min="5" max="5" width="16.0"/>
    <col customWidth="1" min="6" max="6" width="10.0"/>
    <col customWidth="1" min="7" max="7" width="14.0"/>
    <col customWidth="1" min="8" max="8" width="12.0"/>
    <col customWidth="1" min="9" max="9" width="16.0"/>
    <col customWidth="1" min="10" max="10" width="14.0"/>
    <col customWidth="1" min="11" max="11" width="3.0"/>
    <col customWidth="1" min="12" max="23" width="13.0"/>
  </cols>
  <sheetData>
    <row r="1" ht="17.25" customHeight="1">
      <c r="A1" s="1"/>
      <c r="B1" s="44" t="s">
        <v>456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5" t="s">
        <v>457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01" t="s">
        <v>458</v>
      </c>
      <c r="C4" s="46"/>
      <c r="D4" s="46"/>
      <c r="E4" s="46"/>
      <c r="F4" s="46"/>
      <c r="G4" s="46"/>
      <c r="H4" s="46"/>
      <c r="I4" s="46"/>
      <c r="J4" s="46"/>
      <c r="K4" s="1"/>
      <c r="L4" s="53" t="s">
        <v>459</v>
      </c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1"/>
      <c r="Y4" s="1"/>
      <c r="Z4" s="1"/>
    </row>
    <row r="5" ht="30.0" customHeight="1">
      <c r="A5" s="1"/>
      <c r="B5" s="102" t="s">
        <v>460</v>
      </c>
      <c r="C5" s="102" t="s">
        <v>70</v>
      </c>
      <c r="D5" s="102" t="s">
        <v>461</v>
      </c>
      <c r="E5" s="102" t="s">
        <v>462</v>
      </c>
      <c r="F5" s="102" t="s">
        <v>463</v>
      </c>
      <c r="G5" s="102" t="s">
        <v>464</v>
      </c>
      <c r="H5" s="102" t="s">
        <v>465</v>
      </c>
      <c r="I5" s="102" t="s">
        <v>466</v>
      </c>
      <c r="J5" s="102" t="s">
        <v>467</v>
      </c>
      <c r="K5" s="1"/>
      <c r="L5" s="183" t="s">
        <v>468</v>
      </c>
      <c r="M5" s="183" t="s">
        <v>469</v>
      </c>
      <c r="N5" s="183" t="s">
        <v>470</v>
      </c>
      <c r="O5" s="183" t="s">
        <v>471</v>
      </c>
      <c r="P5" s="183" t="s">
        <v>98</v>
      </c>
      <c r="Q5" s="183" t="s">
        <v>99</v>
      </c>
      <c r="R5" s="183" t="s">
        <v>100</v>
      </c>
      <c r="S5" s="183" t="s">
        <v>101</v>
      </c>
      <c r="T5" s="183" t="s">
        <v>102</v>
      </c>
      <c r="U5" s="183" t="s">
        <v>103</v>
      </c>
      <c r="V5" s="183" t="s">
        <v>104</v>
      </c>
      <c r="W5" s="183" t="s">
        <v>105</v>
      </c>
      <c r="X5" s="1"/>
      <c r="Y5" s="1"/>
      <c r="Z5" s="1"/>
    </row>
    <row r="6" ht="15.0" customHeight="1">
      <c r="A6" s="1"/>
      <c r="B6" s="103" t="s">
        <v>472</v>
      </c>
      <c r="C6" s="103" t="s">
        <v>473</v>
      </c>
      <c r="D6" s="184" t="s">
        <v>474</v>
      </c>
      <c r="E6" s="59">
        <v>500000.0</v>
      </c>
      <c r="F6" s="185">
        <v>5.0</v>
      </c>
      <c r="G6" s="59">
        <v>0.0</v>
      </c>
      <c r="H6" s="186" t="s">
        <v>475</v>
      </c>
      <c r="I6" s="187">
        <f t="shared" ref="I6:I25" si="1">IF(F6=0,0,(E6-G6)/F6)</f>
        <v>100000</v>
      </c>
      <c r="J6" s="187">
        <f t="shared" ref="J6:J25" si="2">IF(I6=0,0,I6/12)</f>
        <v>8333.333333</v>
      </c>
      <c r="K6" s="1"/>
      <c r="L6" s="65">
        <v>0.0</v>
      </c>
      <c r="M6" s="65">
        <v>0.0</v>
      </c>
      <c r="N6" s="65">
        <f t="shared" ref="N6:N25" si="3">J6</f>
        <v>8333.333333</v>
      </c>
      <c r="O6" s="65">
        <f t="shared" ref="O6:O25" si="4">J6</f>
        <v>8333.333333</v>
      </c>
      <c r="P6" s="65">
        <f t="shared" ref="P6:P25" si="5">J6</f>
        <v>8333.333333</v>
      </c>
      <c r="Q6" s="65">
        <f t="shared" ref="Q6:Q25" si="6">J6</f>
        <v>8333.333333</v>
      </c>
      <c r="R6" s="65">
        <f t="shared" ref="R6:R25" si="7">J6</f>
        <v>8333.333333</v>
      </c>
      <c r="S6" s="65">
        <f t="shared" ref="S6:S25" si="8">J6</f>
        <v>8333.333333</v>
      </c>
      <c r="T6" s="65">
        <f t="shared" ref="T6:T25" si="9">J6</f>
        <v>8333.333333</v>
      </c>
      <c r="U6" s="65">
        <f t="shared" ref="U6:U25" si="10">J6</f>
        <v>8333.333333</v>
      </c>
      <c r="V6" s="65">
        <f t="shared" ref="V6:V25" si="11">J6</f>
        <v>8333.333333</v>
      </c>
      <c r="W6" s="65">
        <f t="shared" ref="W6:W25" si="12">J6</f>
        <v>8333.333333</v>
      </c>
      <c r="X6" s="1"/>
      <c r="Y6" s="1"/>
      <c r="Z6" s="1"/>
    </row>
    <row r="7" ht="15.0" customHeight="1">
      <c r="A7" s="1"/>
      <c r="B7" s="68" t="s">
        <v>476</v>
      </c>
      <c r="C7" s="68" t="s">
        <v>473</v>
      </c>
      <c r="D7" s="184" t="s">
        <v>474</v>
      </c>
      <c r="E7" s="59">
        <v>70000.0</v>
      </c>
      <c r="F7" s="185">
        <v>5.0</v>
      </c>
      <c r="G7" s="59">
        <v>0.0</v>
      </c>
      <c r="H7" s="188" t="s">
        <v>475</v>
      </c>
      <c r="I7" s="187">
        <f t="shared" si="1"/>
        <v>14000</v>
      </c>
      <c r="J7" s="187">
        <f t="shared" si="2"/>
        <v>1166.666667</v>
      </c>
      <c r="K7" s="1"/>
      <c r="L7" s="65">
        <v>0.0</v>
      </c>
      <c r="M7" s="65">
        <v>0.0</v>
      </c>
      <c r="N7" s="65">
        <f t="shared" si="3"/>
        <v>1166.666667</v>
      </c>
      <c r="O7" s="65">
        <f t="shared" si="4"/>
        <v>1166.666667</v>
      </c>
      <c r="P7" s="65">
        <f t="shared" si="5"/>
        <v>1166.666667</v>
      </c>
      <c r="Q7" s="65">
        <f t="shared" si="6"/>
        <v>1166.666667</v>
      </c>
      <c r="R7" s="65">
        <f t="shared" si="7"/>
        <v>1166.666667</v>
      </c>
      <c r="S7" s="65">
        <f t="shared" si="8"/>
        <v>1166.666667</v>
      </c>
      <c r="T7" s="65">
        <f t="shared" si="9"/>
        <v>1166.666667</v>
      </c>
      <c r="U7" s="65">
        <f t="shared" si="10"/>
        <v>1166.666667</v>
      </c>
      <c r="V7" s="65">
        <f t="shared" si="11"/>
        <v>1166.666667</v>
      </c>
      <c r="W7" s="65">
        <f t="shared" si="12"/>
        <v>1166.666667</v>
      </c>
      <c r="X7" s="1"/>
      <c r="Y7" s="1"/>
      <c r="Z7" s="1"/>
    </row>
    <row r="8" ht="15.0" customHeight="1">
      <c r="A8" s="1"/>
      <c r="B8" s="103" t="s">
        <v>477</v>
      </c>
      <c r="C8" s="103" t="s">
        <v>473</v>
      </c>
      <c r="D8" s="184" t="s">
        <v>474</v>
      </c>
      <c r="E8" s="59">
        <v>82500.0</v>
      </c>
      <c r="F8" s="185">
        <v>6.0</v>
      </c>
      <c r="G8" s="59">
        <v>0.0</v>
      </c>
      <c r="H8" s="186" t="s">
        <v>475</v>
      </c>
      <c r="I8" s="187">
        <f t="shared" si="1"/>
        <v>13750</v>
      </c>
      <c r="J8" s="187">
        <f t="shared" si="2"/>
        <v>1145.833333</v>
      </c>
      <c r="K8" s="1"/>
      <c r="L8" s="65">
        <v>0.0</v>
      </c>
      <c r="M8" s="65">
        <v>0.0</v>
      </c>
      <c r="N8" s="65">
        <f t="shared" si="3"/>
        <v>1145.833333</v>
      </c>
      <c r="O8" s="65">
        <f t="shared" si="4"/>
        <v>1145.833333</v>
      </c>
      <c r="P8" s="65">
        <f t="shared" si="5"/>
        <v>1145.833333</v>
      </c>
      <c r="Q8" s="65">
        <f t="shared" si="6"/>
        <v>1145.833333</v>
      </c>
      <c r="R8" s="65">
        <f t="shared" si="7"/>
        <v>1145.833333</v>
      </c>
      <c r="S8" s="65">
        <f t="shared" si="8"/>
        <v>1145.833333</v>
      </c>
      <c r="T8" s="65">
        <f t="shared" si="9"/>
        <v>1145.833333</v>
      </c>
      <c r="U8" s="65">
        <f t="shared" si="10"/>
        <v>1145.833333</v>
      </c>
      <c r="V8" s="65">
        <f t="shared" si="11"/>
        <v>1145.833333</v>
      </c>
      <c r="W8" s="65">
        <f t="shared" si="12"/>
        <v>1145.833333</v>
      </c>
      <c r="X8" s="1"/>
      <c r="Y8" s="1"/>
      <c r="Z8" s="1"/>
    </row>
    <row r="9" ht="15.0" customHeight="1">
      <c r="A9" s="1"/>
      <c r="B9" s="68" t="s">
        <v>317</v>
      </c>
      <c r="C9" s="68" t="s">
        <v>473</v>
      </c>
      <c r="D9" s="184" t="s">
        <v>474</v>
      </c>
      <c r="E9" s="59">
        <v>60000.0</v>
      </c>
      <c r="F9" s="185">
        <v>6.0</v>
      </c>
      <c r="G9" s="59">
        <v>0.0</v>
      </c>
      <c r="H9" s="188" t="s">
        <v>475</v>
      </c>
      <c r="I9" s="187">
        <f t="shared" si="1"/>
        <v>10000</v>
      </c>
      <c r="J9" s="187">
        <f t="shared" si="2"/>
        <v>833.3333333</v>
      </c>
      <c r="K9" s="1"/>
      <c r="L9" s="65">
        <v>0.0</v>
      </c>
      <c r="M9" s="65">
        <v>0.0</v>
      </c>
      <c r="N9" s="65">
        <f t="shared" si="3"/>
        <v>833.3333333</v>
      </c>
      <c r="O9" s="65">
        <f t="shared" si="4"/>
        <v>833.3333333</v>
      </c>
      <c r="P9" s="65">
        <f t="shared" si="5"/>
        <v>833.3333333</v>
      </c>
      <c r="Q9" s="65">
        <f t="shared" si="6"/>
        <v>833.3333333</v>
      </c>
      <c r="R9" s="65">
        <f t="shared" si="7"/>
        <v>833.3333333</v>
      </c>
      <c r="S9" s="65">
        <f t="shared" si="8"/>
        <v>833.3333333</v>
      </c>
      <c r="T9" s="65">
        <f t="shared" si="9"/>
        <v>833.3333333</v>
      </c>
      <c r="U9" s="65">
        <f t="shared" si="10"/>
        <v>833.3333333</v>
      </c>
      <c r="V9" s="65">
        <f t="shared" si="11"/>
        <v>833.3333333</v>
      </c>
      <c r="W9" s="65">
        <f t="shared" si="12"/>
        <v>833.3333333</v>
      </c>
      <c r="X9" s="1"/>
      <c r="Y9" s="1"/>
      <c r="Z9" s="1"/>
    </row>
    <row r="10" ht="15.0" customHeight="1">
      <c r="A10" s="1"/>
      <c r="B10" s="103" t="s">
        <v>478</v>
      </c>
      <c r="C10" s="103" t="s">
        <v>473</v>
      </c>
      <c r="D10" s="184" t="s">
        <v>474</v>
      </c>
      <c r="E10" s="59">
        <v>110000.0</v>
      </c>
      <c r="F10" s="185">
        <v>5.0</v>
      </c>
      <c r="G10" s="59">
        <v>0.0</v>
      </c>
      <c r="H10" s="186" t="s">
        <v>475</v>
      </c>
      <c r="I10" s="187">
        <f t="shared" si="1"/>
        <v>22000</v>
      </c>
      <c r="J10" s="187">
        <f t="shared" si="2"/>
        <v>1833.333333</v>
      </c>
      <c r="K10" s="1"/>
      <c r="L10" s="65">
        <v>0.0</v>
      </c>
      <c r="M10" s="65">
        <v>0.0</v>
      </c>
      <c r="N10" s="65">
        <f t="shared" si="3"/>
        <v>1833.333333</v>
      </c>
      <c r="O10" s="65">
        <f t="shared" si="4"/>
        <v>1833.333333</v>
      </c>
      <c r="P10" s="65">
        <f t="shared" si="5"/>
        <v>1833.333333</v>
      </c>
      <c r="Q10" s="65">
        <f t="shared" si="6"/>
        <v>1833.333333</v>
      </c>
      <c r="R10" s="65">
        <f t="shared" si="7"/>
        <v>1833.333333</v>
      </c>
      <c r="S10" s="65">
        <f t="shared" si="8"/>
        <v>1833.333333</v>
      </c>
      <c r="T10" s="65">
        <f t="shared" si="9"/>
        <v>1833.333333</v>
      </c>
      <c r="U10" s="65">
        <f t="shared" si="10"/>
        <v>1833.333333</v>
      </c>
      <c r="V10" s="65">
        <f t="shared" si="11"/>
        <v>1833.333333</v>
      </c>
      <c r="W10" s="65">
        <f t="shared" si="12"/>
        <v>1833.333333</v>
      </c>
      <c r="X10" s="1"/>
      <c r="Y10" s="1"/>
      <c r="Z10" s="1"/>
    </row>
    <row r="11" ht="15.0" customHeight="1">
      <c r="A11" s="1"/>
      <c r="B11" s="68" t="s">
        <v>479</v>
      </c>
      <c r="C11" s="68" t="s">
        <v>480</v>
      </c>
      <c r="D11" s="184" t="s">
        <v>474</v>
      </c>
      <c r="E11" s="59">
        <v>134560.0</v>
      </c>
      <c r="F11" s="185">
        <v>10.0</v>
      </c>
      <c r="G11" s="59">
        <v>0.0</v>
      </c>
      <c r="H11" s="188" t="s">
        <v>475</v>
      </c>
      <c r="I11" s="187">
        <f t="shared" si="1"/>
        <v>13456</v>
      </c>
      <c r="J11" s="187">
        <f t="shared" si="2"/>
        <v>1121.333333</v>
      </c>
      <c r="K11" s="1"/>
      <c r="L11" s="65">
        <v>0.0</v>
      </c>
      <c r="M11" s="65">
        <v>0.0</v>
      </c>
      <c r="N11" s="65">
        <f t="shared" si="3"/>
        <v>1121.333333</v>
      </c>
      <c r="O11" s="65">
        <f t="shared" si="4"/>
        <v>1121.333333</v>
      </c>
      <c r="P11" s="65">
        <f t="shared" si="5"/>
        <v>1121.333333</v>
      </c>
      <c r="Q11" s="65">
        <f t="shared" si="6"/>
        <v>1121.333333</v>
      </c>
      <c r="R11" s="65">
        <f t="shared" si="7"/>
        <v>1121.333333</v>
      </c>
      <c r="S11" s="65">
        <f t="shared" si="8"/>
        <v>1121.333333</v>
      </c>
      <c r="T11" s="65">
        <f t="shared" si="9"/>
        <v>1121.333333</v>
      </c>
      <c r="U11" s="65">
        <f t="shared" si="10"/>
        <v>1121.333333</v>
      </c>
      <c r="V11" s="65">
        <f t="shared" si="11"/>
        <v>1121.333333</v>
      </c>
      <c r="W11" s="65">
        <f t="shared" si="12"/>
        <v>1121.333333</v>
      </c>
      <c r="X11" s="1"/>
      <c r="Y11" s="1"/>
      <c r="Z11" s="1"/>
    </row>
    <row r="12" ht="15.0" customHeight="1">
      <c r="A12" s="1"/>
      <c r="B12" s="103"/>
      <c r="C12" s="103"/>
      <c r="D12" s="184"/>
      <c r="E12" s="59"/>
      <c r="F12" s="185"/>
      <c r="G12" s="59"/>
      <c r="H12" s="186" t="s">
        <v>475</v>
      </c>
      <c r="I12" s="187">
        <f t="shared" si="1"/>
        <v>0</v>
      </c>
      <c r="J12" s="187">
        <f t="shared" si="2"/>
        <v>0</v>
      </c>
      <c r="K12" s="1"/>
      <c r="L12" s="65">
        <v>0.0</v>
      </c>
      <c r="M12" s="65">
        <v>0.0</v>
      </c>
      <c r="N12" s="65">
        <f t="shared" si="3"/>
        <v>0</v>
      </c>
      <c r="O12" s="65">
        <f t="shared" si="4"/>
        <v>0</v>
      </c>
      <c r="P12" s="65">
        <f t="shared" si="5"/>
        <v>0</v>
      </c>
      <c r="Q12" s="65">
        <f t="shared" si="6"/>
        <v>0</v>
      </c>
      <c r="R12" s="65">
        <f t="shared" si="7"/>
        <v>0</v>
      </c>
      <c r="S12" s="65">
        <f t="shared" si="8"/>
        <v>0</v>
      </c>
      <c r="T12" s="65">
        <f t="shared" si="9"/>
        <v>0</v>
      </c>
      <c r="U12" s="65">
        <f t="shared" si="10"/>
        <v>0</v>
      </c>
      <c r="V12" s="65">
        <f t="shared" si="11"/>
        <v>0</v>
      </c>
      <c r="W12" s="65">
        <f t="shared" si="12"/>
        <v>0</v>
      </c>
      <c r="X12" s="1"/>
      <c r="Y12" s="1"/>
      <c r="Z12" s="1"/>
    </row>
    <row r="13" ht="15.0" customHeight="1">
      <c r="A13" s="1"/>
      <c r="B13" s="60"/>
      <c r="C13" s="60"/>
      <c r="D13" s="184"/>
      <c r="E13" s="59"/>
      <c r="F13" s="185"/>
      <c r="G13" s="59"/>
      <c r="H13" s="188" t="s">
        <v>475</v>
      </c>
      <c r="I13" s="187">
        <f t="shared" si="1"/>
        <v>0</v>
      </c>
      <c r="J13" s="187">
        <f t="shared" si="2"/>
        <v>0</v>
      </c>
      <c r="K13" s="1"/>
      <c r="L13" s="65">
        <v>0.0</v>
      </c>
      <c r="M13" s="65">
        <v>0.0</v>
      </c>
      <c r="N13" s="65">
        <f t="shared" si="3"/>
        <v>0</v>
      </c>
      <c r="O13" s="65">
        <f t="shared" si="4"/>
        <v>0</v>
      </c>
      <c r="P13" s="65">
        <f t="shared" si="5"/>
        <v>0</v>
      </c>
      <c r="Q13" s="65">
        <f t="shared" si="6"/>
        <v>0</v>
      </c>
      <c r="R13" s="65">
        <f t="shared" si="7"/>
        <v>0</v>
      </c>
      <c r="S13" s="65">
        <f t="shared" si="8"/>
        <v>0</v>
      </c>
      <c r="T13" s="65">
        <f t="shared" si="9"/>
        <v>0</v>
      </c>
      <c r="U13" s="65">
        <f t="shared" si="10"/>
        <v>0</v>
      </c>
      <c r="V13" s="65">
        <f t="shared" si="11"/>
        <v>0</v>
      </c>
      <c r="W13" s="65">
        <f t="shared" si="12"/>
        <v>0</v>
      </c>
      <c r="X13" s="1"/>
      <c r="Y13" s="1"/>
      <c r="Z13" s="1"/>
    </row>
    <row r="14" ht="15.0" customHeight="1">
      <c r="A14" s="1"/>
      <c r="B14" s="103"/>
      <c r="C14" s="103"/>
      <c r="D14" s="184"/>
      <c r="E14" s="59"/>
      <c r="F14" s="185"/>
      <c r="G14" s="59"/>
      <c r="H14" s="186" t="s">
        <v>475</v>
      </c>
      <c r="I14" s="187">
        <f t="shared" si="1"/>
        <v>0</v>
      </c>
      <c r="J14" s="187">
        <f t="shared" si="2"/>
        <v>0</v>
      </c>
      <c r="K14" s="1"/>
      <c r="L14" s="65">
        <v>0.0</v>
      </c>
      <c r="M14" s="65">
        <v>0.0</v>
      </c>
      <c r="N14" s="65">
        <f t="shared" si="3"/>
        <v>0</v>
      </c>
      <c r="O14" s="65">
        <f t="shared" si="4"/>
        <v>0</v>
      </c>
      <c r="P14" s="65">
        <f t="shared" si="5"/>
        <v>0</v>
      </c>
      <c r="Q14" s="65">
        <f t="shared" si="6"/>
        <v>0</v>
      </c>
      <c r="R14" s="65">
        <f t="shared" si="7"/>
        <v>0</v>
      </c>
      <c r="S14" s="65">
        <f t="shared" si="8"/>
        <v>0</v>
      </c>
      <c r="T14" s="65">
        <f t="shared" si="9"/>
        <v>0</v>
      </c>
      <c r="U14" s="65">
        <f t="shared" si="10"/>
        <v>0</v>
      </c>
      <c r="V14" s="65">
        <f t="shared" si="11"/>
        <v>0</v>
      </c>
      <c r="W14" s="65">
        <f t="shared" si="12"/>
        <v>0</v>
      </c>
      <c r="X14" s="1"/>
      <c r="Y14" s="1"/>
      <c r="Z14" s="1"/>
    </row>
    <row r="15" ht="15.0" customHeight="1">
      <c r="A15" s="1"/>
      <c r="B15" s="60"/>
      <c r="C15" s="60"/>
      <c r="D15" s="184"/>
      <c r="E15" s="59"/>
      <c r="F15" s="185"/>
      <c r="G15" s="59"/>
      <c r="H15" s="188" t="s">
        <v>475</v>
      </c>
      <c r="I15" s="187">
        <f t="shared" si="1"/>
        <v>0</v>
      </c>
      <c r="J15" s="187">
        <f t="shared" si="2"/>
        <v>0</v>
      </c>
      <c r="K15" s="1"/>
      <c r="L15" s="65">
        <v>0.0</v>
      </c>
      <c r="M15" s="65">
        <v>0.0</v>
      </c>
      <c r="N15" s="65">
        <f t="shared" si="3"/>
        <v>0</v>
      </c>
      <c r="O15" s="65">
        <f t="shared" si="4"/>
        <v>0</v>
      </c>
      <c r="P15" s="65">
        <f t="shared" si="5"/>
        <v>0</v>
      </c>
      <c r="Q15" s="65">
        <f t="shared" si="6"/>
        <v>0</v>
      </c>
      <c r="R15" s="65">
        <f t="shared" si="7"/>
        <v>0</v>
      </c>
      <c r="S15" s="65">
        <f t="shared" si="8"/>
        <v>0</v>
      </c>
      <c r="T15" s="65">
        <f t="shared" si="9"/>
        <v>0</v>
      </c>
      <c r="U15" s="65">
        <f t="shared" si="10"/>
        <v>0</v>
      </c>
      <c r="V15" s="65">
        <f t="shared" si="11"/>
        <v>0</v>
      </c>
      <c r="W15" s="65">
        <f t="shared" si="12"/>
        <v>0</v>
      </c>
      <c r="X15" s="1"/>
      <c r="Y15" s="1"/>
      <c r="Z15" s="1"/>
    </row>
    <row r="16" ht="15.0" customHeight="1">
      <c r="A16" s="1"/>
      <c r="B16" s="103"/>
      <c r="C16" s="103"/>
      <c r="D16" s="184"/>
      <c r="E16" s="59"/>
      <c r="F16" s="185"/>
      <c r="G16" s="59"/>
      <c r="H16" s="186" t="s">
        <v>475</v>
      </c>
      <c r="I16" s="187">
        <f t="shared" si="1"/>
        <v>0</v>
      </c>
      <c r="J16" s="187">
        <f t="shared" si="2"/>
        <v>0</v>
      </c>
      <c r="K16" s="1"/>
      <c r="L16" s="65">
        <v>0.0</v>
      </c>
      <c r="M16" s="65">
        <v>0.0</v>
      </c>
      <c r="N16" s="65">
        <f t="shared" si="3"/>
        <v>0</v>
      </c>
      <c r="O16" s="65">
        <f t="shared" si="4"/>
        <v>0</v>
      </c>
      <c r="P16" s="65">
        <f t="shared" si="5"/>
        <v>0</v>
      </c>
      <c r="Q16" s="65">
        <f t="shared" si="6"/>
        <v>0</v>
      </c>
      <c r="R16" s="65">
        <f t="shared" si="7"/>
        <v>0</v>
      </c>
      <c r="S16" s="65">
        <f t="shared" si="8"/>
        <v>0</v>
      </c>
      <c r="T16" s="65">
        <f t="shared" si="9"/>
        <v>0</v>
      </c>
      <c r="U16" s="65">
        <f t="shared" si="10"/>
        <v>0</v>
      </c>
      <c r="V16" s="65">
        <f t="shared" si="11"/>
        <v>0</v>
      </c>
      <c r="W16" s="65">
        <f t="shared" si="12"/>
        <v>0</v>
      </c>
      <c r="X16" s="1"/>
      <c r="Y16" s="1"/>
      <c r="Z16" s="1"/>
    </row>
    <row r="17" ht="15.0" customHeight="1">
      <c r="A17" s="1"/>
      <c r="B17" s="60"/>
      <c r="C17" s="60"/>
      <c r="D17" s="184"/>
      <c r="E17" s="59"/>
      <c r="F17" s="185"/>
      <c r="G17" s="59"/>
      <c r="H17" s="188" t="s">
        <v>475</v>
      </c>
      <c r="I17" s="187">
        <f t="shared" si="1"/>
        <v>0</v>
      </c>
      <c r="J17" s="187">
        <f t="shared" si="2"/>
        <v>0</v>
      </c>
      <c r="K17" s="1"/>
      <c r="L17" s="65">
        <v>0.0</v>
      </c>
      <c r="M17" s="65">
        <v>0.0</v>
      </c>
      <c r="N17" s="65">
        <f t="shared" si="3"/>
        <v>0</v>
      </c>
      <c r="O17" s="65">
        <f t="shared" si="4"/>
        <v>0</v>
      </c>
      <c r="P17" s="65">
        <f t="shared" si="5"/>
        <v>0</v>
      </c>
      <c r="Q17" s="65">
        <f t="shared" si="6"/>
        <v>0</v>
      </c>
      <c r="R17" s="65">
        <f t="shared" si="7"/>
        <v>0</v>
      </c>
      <c r="S17" s="65">
        <f t="shared" si="8"/>
        <v>0</v>
      </c>
      <c r="T17" s="65">
        <f t="shared" si="9"/>
        <v>0</v>
      </c>
      <c r="U17" s="65">
        <f t="shared" si="10"/>
        <v>0</v>
      </c>
      <c r="V17" s="65">
        <f t="shared" si="11"/>
        <v>0</v>
      </c>
      <c r="W17" s="65">
        <f t="shared" si="12"/>
        <v>0</v>
      </c>
      <c r="X17" s="1"/>
      <c r="Y17" s="1"/>
      <c r="Z17" s="1"/>
    </row>
    <row r="18" ht="15.0" customHeight="1">
      <c r="A18" s="1"/>
      <c r="B18" s="103"/>
      <c r="C18" s="103"/>
      <c r="D18" s="184"/>
      <c r="E18" s="59"/>
      <c r="F18" s="185"/>
      <c r="G18" s="59"/>
      <c r="H18" s="186" t="s">
        <v>475</v>
      </c>
      <c r="I18" s="187">
        <f t="shared" si="1"/>
        <v>0</v>
      </c>
      <c r="J18" s="187">
        <f t="shared" si="2"/>
        <v>0</v>
      </c>
      <c r="K18" s="1"/>
      <c r="L18" s="65">
        <v>0.0</v>
      </c>
      <c r="M18" s="65">
        <v>0.0</v>
      </c>
      <c r="N18" s="65">
        <f t="shared" si="3"/>
        <v>0</v>
      </c>
      <c r="O18" s="65">
        <f t="shared" si="4"/>
        <v>0</v>
      </c>
      <c r="P18" s="65">
        <f t="shared" si="5"/>
        <v>0</v>
      </c>
      <c r="Q18" s="65">
        <f t="shared" si="6"/>
        <v>0</v>
      </c>
      <c r="R18" s="65">
        <f t="shared" si="7"/>
        <v>0</v>
      </c>
      <c r="S18" s="65">
        <f t="shared" si="8"/>
        <v>0</v>
      </c>
      <c r="T18" s="65">
        <f t="shared" si="9"/>
        <v>0</v>
      </c>
      <c r="U18" s="65">
        <f t="shared" si="10"/>
        <v>0</v>
      </c>
      <c r="V18" s="65">
        <f t="shared" si="11"/>
        <v>0</v>
      </c>
      <c r="W18" s="65">
        <f t="shared" si="12"/>
        <v>0</v>
      </c>
      <c r="X18" s="1"/>
      <c r="Y18" s="1"/>
      <c r="Z18" s="1"/>
    </row>
    <row r="19" ht="15.0" customHeight="1">
      <c r="A19" s="1"/>
      <c r="B19" s="60"/>
      <c r="C19" s="60"/>
      <c r="D19" s="184"/>
      <c r="E19" s="59"/>
      <c r="F19" s="185"/>
      <c r="G19" s="59"/>
      <c r="H19" s="188" t="s">
        <v>475</v>
      </c>
      <c r="I19" s="187">
        <f t="shared" si="1"/>
        <v>0</v>
      </c>
      <c r="J19" s="187">
        <f t="shared" si="2"/>
        <v>0</v>
      </c>
      <c r="K19" s="1"/>
      <c r="L19" s="65">
        <v>0.0</v>
      </c>
      <c r="M19" s="65">
        <v>0.0</v>
      </c>
      <c r="N19" s="65">
        <f t="shared" si="3"/>
        <v>0</v>
      </c>
      <c r="O19" s="65">
        <f t="shared" si="4"/>
        <v>0</v>
      </c>
      <c r="P19" s="65">
        <f t="shared" si="5"/>
        <v>0</v>
      </c>
      <c r="Q19" s="65">
        <f t="shared" si="6"/>
        <v>0</v>
      </c>
      <c r="R19" s="65">
        <f t="shared" si="7"/>
        <v>0</v>
      </c>
      <c r="S19" s="65">
        <f t="shared" si="8"/>
        <v>0</v>
      </c>
      <c r="T19" s="65">
        <f t="shared" si="9"/>
        <v>0</v>
      </c>
      <c r="U19" s="65">
        <f t="shared" si="10"/>
        <v>0</v>
      </c>
      <c r="V19" s="65">
        <f t="shared" si="11"/>
        <v>0</v>
      </c>
      <c r="W19" s="65">
        <f t="shared" si="12"/>
        <v>0</v>
      </c>
      <c r="X19" s="1"/>
      <c r="Y19" s="1"/>
      <c r="Z19" s="1"/>
    </row>
    <row r="20" ht="15.0" customHeight="1">
      <c r="A20" s="1"/>
      <c r="B20" s="103"/>
      <c r="C20" s="103"/>
      <c r="D20" s="184"/>
      <c r="E20" s="59"/>
      <c r="F20" s="185"/>
      <c r="G20" s="59"/>
      <c r="H20" s="186" t="s">
        <v>475</v>
      </c>
      <c r="I20" s="187">
        <f t="shared" si="1"/>
        <v>0</v>
      </c>
      <c r="J20" s="187">
        <f t="shared" si="2"/>
        <v>0</v>
      </c>
      <c r="K20" s="1"/>
      <c r="L20" s="65">
        <v>0.0</v>
      </c>
      <c r="M20" s="65">
        <v>0.0</v>
      </c>
      <c r="N20" s="65">
        <f t="shared" si="3"/>
        <v>0</v>
      </c>
      <c r="O20" s="65">
        <f t="shared" si="4"/>
        <v>0</v>
      </c>
      <c r="P20" s="65">
        <f t="shared" si="5"/>
        <v>0</v>
      </c>
      <c r="Q20" s="65">
        <f t="shared" si="6"/>
        <v>0</v>
      </c>
      <c r="R20" s="65">
        <f t="shared" si="7"/>
        <v>0</v>
      </c>
      <c r="S20" s="65">
        <f t="shared" si="8"/>
        <v>0</v>
      </c>
      <c r="T20" s="65">
        <f t="shared" si="9"/>
        <v>0</v>
      </c>
      <c r="U20" s="65">
        <f t="shared" si="10"/>
        <v>0</v>
      </c>
      <c r="V20" s="65">
        <f t="shared" si="11"/>
        <v>0</v>
      </c>
      <c r="W20" s="65">
        <f t="shared" si="12"/>
        <v>0</v>
      </c>
      <c r="X20" s="1"/>
      <c r="Y20" s="1"/>
      <c r="Z20" s="1"/>
    </row>
    <row r="21" ht="15.0" customHeight="1">
      <c r="A21" s="1"/>
      <c r="B21" s="60"/>
      <c r="C21" s="60"/>
      <c r="D21" s="184"/>
      <c r="E21" s="59"/>
      <c r="F21" s="185"/>
      <c r="G21" s="59"/>
      <c r="H21" s="188" t="s">
        <v>475</v>
      </c>
      <c r="I21" s="187">
        <f t="shared" si="1"/>
        <v>0</v>
      </c>
      <c r="J21" s="187">
        <f t="shared" si="2"/>
        <v>0</v>
      </c>
      <c r="K21" s="1"/>
      <c r="L21" s="65">
        <v>0.0</v>
      </c>
      <c r="M21" s="65">
        <v>0.0</v>
      </c>
      <c r="N21" s="65">
        <f t="shared" si="3"/>
        <v>0</v>
      </c>
      <c r="O21" s="65">
        <f t="shared" si="4"/>
        <v>0</v>
      </c>
      <c r="P21" s="65">
        <f t="shared" si="5"/>
        <v>0</v>
      </c>
      <c r="Q21" s="65">
        <f t="shared" si="6"/>
        <v>0</v>
      </c>
      <c r="R21" s="65">
        <f t="shared" si="7"/>
        <v>0</v>
      </c>
      <c r="S21" s="65">
        <f t="shared" si="8"/>
        <v>0</v>
      </c>
      <c r="T21" s="65">
        <f t="shared" si="9"/>
        <v>0</v>
      </c>
      <c r="U21" s="65">
        <f t="shared" si="10"/>
        <v>0</v>
      </c>
      <c r="V21" s="65">
        <f t="shared" si="11"/>
        <v>0</v>
      </c>
      <c r="W21" s="65">
        <f t="shared" si="12"/>
        <v>0</v>
      </c>
      <c r="X21" s="1"/>
      <c r="Y21" s="1"/>
      <c r="Z21" s="1"/>
    </row>
    <row r="22" ht="15.0" customHeight="1">
      <c r="A22" s="1"/>
      <c r="B22" s="103"/>
      <c r="C22" s="103"/>
      <c r="D22" s="184"/>
      <c r="E22" s="59"/>
      <c r="F22" s="185"/>
      <c r="G22" s="59"/>
      <c r="H22" s="186" t="s">
        <v>475</v>
      </c>
      <c r="I22" s="187">
        <f t="shared" si="1"/>
        <v>0</v>
      </c>
      <c r="J22" s="187">
        <f t="shared" si="2"/>
        <v>0</v>
      </c>
      <c r="K22" s="1"/>
      <c r="L22" s="65">
        <v>0.0</v>
      </c>
      <c r="M22" s="65">
        <v>0.0</v>
      </c>
      <c r="N22" s="65">
        <f t="shared" si="3"/>
        <v>0</v>
      </c>
      <c r="O22" s="65">
        <f t="shared" si="4"/>
        <v>0</v>
      </c>
      <c r="P22" s="65">
        <f t="shared" si="5"/>
        <v>0</v>
      </c>
      <c r="Q22" s="65">
        <f t="shared" si="6"/>
        <v>0</v>
      </c>
      <c r="R22" s="65">
        <f t="shared" si="7"/>
        <v>0</v>
      </c>
      <c r="S22" s="65">
        <f t="shared" si="8"/>
        <v>0</v>
      </c>
      <c r="T22" s="65">
        <f t="shared" si="9"/>
        <v>0</v>
      </c>
      <c r="U22" s="65">
        <f t="shared" si="10"/>
        <v>0</v>
      </c>
      <c r="V22" s="65">
        <f t="shared" si="11"/>
        <v>0</v>
      </c>
      <c r="W22" s="65">
        <f t="shared" si="12"/>
        <v>0</v>
      </c>
      <c r="X22" s="1"/>
      <c r="Y22" s="1"/>
      <c r="Z22" s="1"/>
    </row>
    <row r="23" ht="15.0" customHeight="1">
      <c r="A23" s="1"/>
      <c r="B23" s="60"/>
      <c r="C23" s="60"/>
      <c r="D23" s="184"/>
      <c r="E23" s="59"/>
      <c r="F23" s="185"/>
      <c r="G23" s="59"/>
      <c r="H23" s="188" t="s">
        <v>475</v>
      </c>
      <c r="I23" s="187">
        <f t="shared" si="1"/>
        <v>0</v>
      </c>
      <c r="J23" s="187">
        <f t="shared" si="2"/>
        <v>0</v>
      </c>
      <c r="K23" s="1"/>
      <c r="L23" s="65">
        <v>0.0</v>
      </c>
      <c r="M23" s="65">
        <v>0.0</v>
      </c>
      <c r="N23" s="65">
        <f t="shared" si="3"/>
        <v>0</v>
      </c>
      <c r="O23" s="65">
        <f t="shared" si="4"/>
        <v>0</v>
      </c>
      <c r="P23" s="65">
        <f t="shared" si="5"/>
        <v>0</v>
      </c>
      <c r="Q23" s="65">
        <f t="shared" si="6"/>
        <v>0</v>
      </c>
      <c r="R23" s="65">
        <f t="shared" si="7"/>
        <v>0</v>
      </c>
      <c r="S23" s="65">
        <f t="shared" si="8"/>
        <v>0</v>
      </c>
      <c r="T23" s="65">
        <f t="shared" si="9"/>
        <v>0</v>
      </c>
      <c r="U23" s="65">
        <f t="shared" si="10"/>
        <v>0</v>
      </c>
      <c r="V23" s="65">
        <f t="shared" si="11"/>
        <v>0</v>
      </c>
      <c r="W23" s="65">
        <f t="shared" si="12"/>
        <v>0</v>
      </c>
      <c r="X23" s="1"/>
      <c r="Y23" s="1"/>
      <c r="Z23" s="1"/>
    </row>
    <row r="24" ht="15.0" customHeight="1">
      <c r="A24" s="1"/>
      <c r="B24" s="103"/>
      <c r="C24" s="103"/>
      <c r="D24" s="184"/>
      <c r="E24" s="59"/>
      <c r="F24" s="185"/>
      <c r="G24" s="59"/>
      <c r="H24" s="186" t="s">
        <v>475</v>
      </c>
      <c r="I24" s="187">
        <f t="shared" si="1"/>
        <v>0</v>
      </c>
      <c r="J24" s="187">
        <f t="shared" si="2"/>
        <v>0</v>
      </c>
      <c r="K24" s="1"/>
      <c r="L24" s="65">
        <v>0.0</v>
      </c>
      <c r="M24" s="65">
        <v>0.0</v>
      </c>
      <c r="N24" s="65">
        <f t="shared" si="3"/>
        <v>0</v>
      </c>
      <c r="O24" s="65">
        <f t="shared" si="4"/>
        <v>0</v>
      </c>
      <c r="P24" s="65">
        <f t="shared" si="5"/>
        <v>0</v>
      </c>
      <c r="Q24" s="65">
        <f t="shared" si="6"/>
        <v>0</v>
      </c>
      <c r="R24" s="65">
        <f t="shared" si="7"/>
        <v>0</v>
      </c>
      <c r="S24" s="65">
        <f t="shared" si="8"/>
        <v>0</v>
      </c>
      <c r="T24" s="65">
        <f t="shared" si="9"/>
        <v>0</v>
      </c>
      <c r="U24" s="65">
        <f t="shared" si="10"/>
        <v>0</v>
      </c>
      <c r="V24" s="65">
        <f t="shared" si="11"/>
        <v>0</v>
      </c>
      <c r="W24" s="65">
        <f t="shared" si="12"/>
        <v>0</v>
      </c>
      <c r="X24" s="1"/>
      <c r="Y24" s="1"/>
      <c r="Z24" s="1"/>
    </row>
    <row r="25" ht="15.0" customHeight="1">
      <c r="A25" s="1"/>
      <c r="B25" s="60"/>
      <c r="C25" s="60"/>
      <c r="D25" s="184"/>
      <c r="E25" s="59"/>
      <c r="F25" s="185"/>
      <c r="G25" s="59"/>
      <c r="H25" s="188" t="s">
        <v>475</v>
      </c>
      <c r="I25" s="187">
        <f t="shared" si="1"/>
        <v>0</v>
      </c>
      <c r="J25" s="187">
        <f t="shared" si="2"/>
        <v>0</v>
      </c>
      <c r="K25" s="1"/>
      <c r="L25" s="65">
        <v>0.0</v>
      </c>
      <c r="M25" s="65">
        <v>0.0</v>
      </c>
      <c r="N25" s="65">
        <f t="shared" si="3"/>
        <v>0</v>
      </c>
      <c r="O25" s="65">
        <f t="shared" si="4"/>
        <v>0</v>
      </c>
      <c r="P25" s="65">
        <f t="shared" si="5"/>
        <v>0</v>
      </c>
      <c r="Q25" s="65">
        <f t="shared" si="6"/>
        <v>0</v>
      </c>
      <c r="R25" s="65">
        <f t="shared" si="7"/>
        <v>0</v>
      </c>
      <c r="S25" s="65">
        <f t="shared" si="8"/>
        <v>0</v>
      </c>
      <c r="T25" s="65">
        <f t="shared" si="9"/>
        <v>0</v>
      </c>
      <c r="U25" s="65">
        <f t="shared" si="10"/>
        <v>0</v>
      </c>
      <c r="V25" s="65">
        <f t="shared" si="11"/>
        <v>0</v>
      </c>
      <c r="W25" s="65">
        <f t="shared" si="12"/>
        <v>0</v>
      </c>
      <c r="X25" s="1"/>
      <c r="Y25" s="1"/>
      <c r="Z25" s="1"/>
    </row>
    <row r="26" ht="15.0" customHeight="1">
      <c r="A26" s="1"/>
      <c r="B26" s="72" t="s">
        <v>41</v>
      </c>
      <c r="C26" s="74"/>
      <c r="D26" s="74"/>
      <c r="E26" s="73">
        <f>SUM(E6:E25)</f>
        <v>957060</v>
      </c>
      <c r="F26" s="74"/>
      <c r="G26" s="74"/>
      <c r="H26" s="74"/>
      <c r="I26" s="73">
        <f t="shared" ref="I26:J26" si="13">SUM(I6:I25)</f>
        <v>173206</v>
      </c>
      <c r="J26" s="73">
        <f t="shared" si="13"/>
        <v>14433.83333</v>
      </c>
      <c r="K26" s="1"/>
      <c r="L26" s="73">
        <f t="shared" ref="L26:W26" si="14">SUM(L6:L25)</f>
        <v>0</v>
      </c>
      <c r="M26" s="73">
        <f t="shared" si="14"/>
        <v>0</v>
      </c>
      <c r="N26" s="73">
        <f t="shared" si="14"/>
        <v>14433.83333</v>
      </c>
      <c r="O26" s="73">
        <f t="shared" si="14"/>
        <v>14433.83333</v>
      </c>
      <c r="P26" s="73">
        <f t="shared" si="14"/>
        <v>14433.83333</v>
      </c>
      <c r="Q26" s="73">
        <f t="shared" si="14"/>
        <v>14433.83333</v>
      </c>
      <c r="R26" s="73">
        <f t="shared" si="14"/>
        <v>14433.83333</v>
      </c>
      <c r="S26" s="73">
        <f t="shared" si="14"/>
        <v>14433.83333</v>
      </c>
      <c r="T26" s="73">
        <f t="shared" si="14"/>
        <v>14433.83333</v>
      </c>
      <c r="U26" s="73">
        <f t="shared" si="14"/>
        <v>14433.83333</v>
      </c>
      <c r="V26" s="73">
        <f t="shared" si="14"/>
        <v>14433.83333</v>
      </c>
      <c r="W26" s="73">
        <f t="shared" si="14"/>
        <v>14433.83333</v>
      </c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01" t="s">
        <v>481</v>
      </c>
      <c r="C28" s="46"/>
      <c r="D28" s="46"/>
      <c r="E28" s="46"/>
      <c r="F28" s="4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6" t="s">
        <v>482</v>
      </c>
      <c r="C29" s="189">
        <f>E26</f>
        <v>957060</v>
      </c>
      <c r="D29" s="190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06" t="s">
        <v>483</v>
      </c>
      <c r="C30" s="189">
        <f>I26</f>
        <v>173206</v>
      </c>
      <c r="D30" s="19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06" t="s">
        <v>484</v>
      </c>
      <c r="C31" s="189">
        <f>J26</f>
        <v>14433.83333</v>
      </c>
      <c r="D31" s="190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91" t="s">
        <v>485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92" t="s">
        <v>486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92" t="s">
        <v>487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92" t="s">
        <v>488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9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91" t="s">
        <v>489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92" t="s">
        <v>490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92" t="s">
        <v>491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92" t="s">
        <v>492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18" t="s">
        <v>493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192" t="s">
        <v>494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92" t="s">
        <v>495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11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91" t="s">
        <v>496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92" t="s">
        <v>497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92" t="s">
        <v>498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92" t="s">
        <v>499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92" t="s">
        <v>500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J1"/>
    <mergeCell ref="B2:J2"/>
    <mergeCell ref="B4:J4"/>
    <mergeCell ref="L4:W4"/>
    <mergeCell ref="B28:F28"/>
    <mergeCell ref="C29:D29"/>
    <mergeCell ref="C30:D30"/>
    <mergeCell ref="C31:D31"/>
  </mergeCells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20.0"/>
    <col customWidth="1" min="3" max="3" width="12.0"/>
    <col customWidth="1" min="4" max="5" width="14.0"/>
    <col customWidth="1" min="6" max="6" width="12.0"/>
    <col customWidth="1" min="7" max="7" width="14.0"/>
    <col customWidth="1" min="8" max="8" width="3.0"/>
    <col customWidth="1" min="9" max="9" width="16.0"/>
    <col customWidth="1" min="10" max="12" width="14.0"/>
  </cols>
  <sheetData>
    <row r="1" ht="17.25" customHeight="1">
      <c r="A1" s="1"/>
      <c r="B1" s="44" t="s">
        <v>501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10" t="s">
        <v>502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93" t="s">
        <v>503</v>
      </c>
      <c r="C4" s="194"/>
      <c r="D4" s="194"/>
      <c r="E4" s="194"/>
      <c r="F4" s="1"/>
      <c r="G4" s="1"/>
      <c r="H4" s="1"/>
      <c r="I4" s="195" t="s">
        <v>504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/>
      <c r="B5" s="56" t="s">
        <v>505</v>
      </c>
      <c r="C5" s="56" t="s">
        <v>506</v>
      </c>
      <c r="D5" s="56" t="s">
        <v>507</v>
      </c>
      <c r="E5" s="56" t="s">
        <v>179</v>
      </c>
      <c r="F5" s="102"/>
      <c r="G5" s="102"/>
      <c r="H5" s="1"/>
      <c r="I5" s="56"/>
      <c r="J5" s="56" t="s">
        <v>508</v>
      </c>
      <c r="K5" s="56" t="s">
        <v>509</v>
      </c>
      <c r="L5" s="56" t="s">
        <v>351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58" t="s">
        <v>510</v>
      </c>
      <c r="C6" s="196">
        <v>450.0</v>
      </c>
      <c r="D6" s="196">
        <v>65.0</v>
      </c>
      <c r="E6" s="197">
        <v>0.14</v>
      </c>
      <c r="F6" s="96"/>
      <c r="G6" s="198"/>
      <c r="H6" s="1"/>
      <c r="I6" s="199" t="s">
        <v>511</v>
      </c>
      <c r="J6" s="199" t="s">
        <v>512</v>
      </c>
      <c r="K6" s="199" t="s">
        <v>512</v>
      </c>
      <c r="L6" s="199" t="s">
        <v>513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00" t="s">
        <v>514</v>
      </c>
      <c r="C7" s="201">
        <v>500.0</v>
      </c>
      <c r="D7" s="202">
        <v>100.0</v>
      </c>
      <c r="E7" s="203">
        <v>0.2</v>
      </c>
      <c r="F7" s="96"/>
      <c r="G7" s="198"/>
      <c r="H7" s="1"/>
      <c r="I7" s="204" t="s">
        <v>515</v>
      </c>
      <c r="J7" s="198" t="s">
        <v>516</v>
      </c>
      <c r="K7" s="198" t="s">
        <v>516</v>
      </c>
      <c r="L7" s="198" t="s">
        <v>517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58" t="s">
        <v>518</v>
      </c>
      <c r="C8" s="205" t="s">
        <v>519</v>
      </c>
      <c r="D8" s="59" t="s">
        <v>520</v>
      </c>
      <c r="E8" s="59"/>
      <c r="F8" s="206" t="s">
        <v>521</v>
      </c>
      <c r="G8" s="198"/>
      <c r="H8" s="1"/>
      <c r="I8" s="199" t="s">
        <v>522</v>
      </c>
      <c r="J8" s="207" t="s">
        <v>523</v>
      </c>
      <c r="K8" s="207" t="s">
        <v>523</v>
      </c>
      <c r="L8" s="207" t="s">
        <v>524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200" t="s">
        <v>525</v>
      </c>
      <c r="C9" s="208" t="s">
        <v>519</v>
      </c>
      <c r="D9" s="59" t="s">
        <v>526</v>
      </c>
      <c r="E9" s="59"/>
      <c r="F9" s="206" t="s">
        <v>521</v>
      </c>
      <c r="G9" s="198"/>
      <c r="H9" s="1"/>
      <c r="I9" s="204" t="s">
        <v>527</v>
      </c>
      <c r="J9" s="198" t="s">
        <v>528</v>
      </c>
      <c r="K9" s="198" t="s">
        <v>528</v>
      </c>
      <c r="L9" s="198" t="s">
        <v>529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58" t="s">
        <v>530</v>
      </c>
      <c r="C10" s="205" t="s">
        <v>526</v>
      </c>
      <c r="D10" s="59" t="s">
        <v>531</v>
      </c>
      <c r="E10" s="59"/>
      <c r="F10" s="206" t="s">
        <v>521</v>
      </c>
      <c r="G10" s="19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200" t="s">
        <v>532</v>
      </c>
      <c r="C11" s="201">
        <v>450.0</v>
      </c>
      <c r="D11" s="202">
        <v>60.0</v>
      </c>
      <c r="E11" s="203">
        <v>0.13</v>
      </c>
      <c r="F11" s="96"/>
      <c r="G11" s="19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58" t="s">
        <v>533</v>
      </c>
      <c r="C12" s="196">
        <v>400.0</v>
      </c>
      <c r="D12" s="196">
        <v>50.0</v>
      </c>
      <c r="E12" s="197">
        <v>0.13</v>
      </c>
      <c r="F12" s="96"/>
      <c r="G12" s="198"/>
      <c r="H12" s="1"/>
      <c r="I12" s="191" t="s">
        <v>534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200" t="s">
        <v>535</v>
      </c>
      <c r="C13" s="201">
        <v>550.0</v>
      </c>
      <c r="D13" s="202">
        <v>130.0</v>
      </c>
      <c r="E13" s="203">
        <v>0.24</v>
      </c>
      <c r="F13" s="96"/>
      <c r="G13" s="198"/>
      <c r="H13" s="1"/>
      <c r="I13" s="192" t="s">
        <v>536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58" t="s">
        <v>537</v>
      </c>
      <c r="C14" s="196">
        <v>400.0</v>
      </c>
      <c r="D14" s="196">
        <v>50.0</v>
      </c>
      <c r="E14" s="197">
        <v>0.13</v>
      </c>
      <c r="F14" s="96"/>
      <c r="G14" s="198"/>
      <c r="H14" s="1"/>
      <c r="I14" s="192" t="s">
        <v>538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200" t="s">
        <v>539</v>
      </c>
      <c r="C15" s="201">
        <v>500.0</v>
      </c>
      <c r="D15" s="202">
        <v>80.0</v>
      </c>
      <c r="E15" s="203">
        <v>0.16</v>
      </c>
      <c r="F15" s="96"/>
      <c r="G15" s="198"/>
      <c r="H15" s="1"/>
      <c r="I15" s="192" t="s">
        <v>540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58" t="s">
        <v>541</v>
      </c>
      <c r="C16" s="196">
        <v>500.0</v>
      </c>
      <c r="D16" s="196">
        <v>80.0</v>
      </c>
      <c r="E16" s="197">
        <v>0.16</v>
      </c>
      <c r="F16" s="96"/>
      <c r="G16" s="198"/>
      <c r="H16" s="1"/>
      <c r="I16" s="192" t="s">
        <v>542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200" t="s">
        <v>543</v>
      </c>
      <c r="C17" s="201">
        <v>300.0</v>
      </c>
      <c r="D17" s="202">
        <v>60.0</v>
      </c>
      <c r="E17" s="203">
        <v>0.2</v>
      </c>
      <c r="F17" s="96"/>
      <c r="G17" s="198"/>
      <c r="H17" s="1"/>
      <c r="I17" s="192" t="s">
        <v>544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58" t="s">
        <v>545</v>
      </c>
      <c r="C18" s="196">
        <v>400.0</v>
      </c>
      <c r="D18" s="196">
        <v>100.0</v>
      </c>
      <c r="E18" s="197">
        <v>0.25</v>
      </c>
      <c r="F18" s="96"/>
      <c r="G18" s="19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209" t="s">
        <v>546</v>
      </c>
      <c r="C19" s="210">
        <v>445.0</v>
      </c>
      <c r="D19" s="210">
        <v>78.0</v>
      </c>
      <c r="E19" s="211">
        <v>0.17</v>
      </c>
      <c r="F19" s="96"/>
      <c r="G19" s="19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03"/>
      <c r="C20" s="205"/>
      <c r="D20" s="59"/>
      <c r="E20" s="59"/>
      <c r="F20" s="96"/>
      <c r="G20" s="19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93" t="s">
        <v>547</v>
      </c>
      <c r="C21" s="194"/>
      <c r="D21" s="212"/>
      <c r="E21" s="212"/>
      <c r="F21" s="213"/>
      <c r="G21" s="7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6" t="s">
        <v>505</v>
      </c>
      <c r="C22" s="56" t="s">
        <v>506</v>
      </c>
      <c r="D22" s="56" t="s">
        <v>507</v>
      </c>
      <c r="E22" s="56" t="s">
        <v>179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214" t="s">
        <v>548</v>
      </c>
      <c r="C23" s="196">
        <v>480.0</v>
      </c>
      <c r="D23" s="196">
        <v>178.0</v>
      </c>
      <c r="E23" s="197">
        <v>0.37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0.0" customHeight="1">
      <c r="A24" s="1"/>
      <c r="B24" s="215" t="s">
        <v>549</v>
      </c>
      <c r="C24" s="216">
        <v>400.0</v>
      </c>
      <c r="D24" s="216">
        <v>80.0</v>
      </c>
      <c r="E24" s="217">
        <v>0.2</v>
      </c>
      <c r="F24" s="102"/>
      <c r="G24" s="10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214" t="s">
        <v>550</v>
      </c>
      <c r="C25" s="196">
        <v>300.0</v>
      </c>
      <c r="D25" s="196">
        <v>45.0</v>
      </c>
      <c r="E25" s="197">
        <v>0.15</v>
      </c>
      <c r="F25" s="96"/>
      <c r="G25" s="19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200" t="s">
        <v>551</v>
      </c>
      <c r="C26" s="201">
        <v>420.0</v>
      </c>
      <c r="D26" s="202">
        <v>90.0</v>
      </c>
      <c r="E26" s="203">
        <v>0.21</v>
      </c>
      <c r="F26" s="96"/>
      <c r="G26" s="19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209" t="s">
        <v>552</v>
      </c>
      <c r="C27" s="210">
        <v>400.0</v>
      </c>
      <c r="D27" s="210">
        <v>98.0</v>
      </c>
      <c r="E27" s="211">
        <v>0.25</v>
      </c>
      <c r="F27" s="96"/>
      <c r="G27" s="19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8"/>
      <c r="C28" s="188"/>
      <c r="D28" s="59"/>
      <c r="E28" s="59"/>
      <c r="F28" s="96"/>
      <c r="G28" s="19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93" t="s">
        <v>553</v>
      </c>
      <c r="C29" s="186"/>
      <c r="D29" s="59"/>
      <c r="E29" s="59"/>
      <c r="F29" s="96"/>
      <c r="G29" s="19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218" t="s">
        <v>554</v>
      </c>
      <c r="C30" s="201">
        <v>800.0</v>
      </c>
      <c r="D30" s="59"/>
      <c r="E30" s="59"/>
      <c r="F30" s="96"/>
      <c r="G30" s="19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03"/>
      <c r="C31" s="186"/>
      <c r="D31" s="59"/>
      <c r="E31" s="59"/>
      <c r="F31" s="96"/>
      <c r="G31" s="19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94" t="s">
        <v>555</v>
      </c>
      <c r="C32" s="188"/>
      <c r="D32" s="59"/>
      <c r="E32" s="59"/>
      <c r="F32" s="96"/>
      <c r="G32" s="19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219" t="s">
        <v>556</v>
      </c>
      <c r="C33" s="205"/>
      <c r="D33" s="59"/>
      <c r="E33" s="59"/>
      <c r="F33" s="96"/>
      <c r="G33" s="19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20" t="s">
        <v>557</v>
      </c>
      <c r="C34" s="208"/>
      <c r="D34" s="59"/>
      <c r="E34" s="59"/>
      <c r="F34" s="96"/>
      <c r="G34" s="19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03"/>
      <c r="C35" s="205"/>
      <c r="D35" s="59"/>
      <c r="E35" s="59"/>
      <c r="F35" s="96"/>
      <c r="G35" s="19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0"/>
      <c r="C36" s="208"/>
      <c r="D36" s="59"/>
      <c r="E36" s="59"/>
      <c r="F36" s="96"/>
      <c r="G36" s="19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03"/>
      <c r="C37" s="205"/>
      <c r="D37" s="59"/>
      <c r="E37" s="59"/>
      <c r="F37" s="96"/>
      <c r="G37" s="19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0"/>
      <c r="C38" s="208"/>
      <c r="D38" s="59"/>
      <c r="E38" s="59"/>
      <c r="F38" s="96"/>
      <c r="G38" s="19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03"/>
      <c r="C39" s="205"/>
      <c r="D39" s="59"/>
      <c r="E39" s="59"/>
      <c r="F39" s="96"/>
      <c r="G39" s="19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72"/>
      <c r="C40" s="74"/>
      <c r="D40" s="73"/>
      <c r="E40" s="73"/>
      <c r="F40" s="213"/>
      <c r="G40" s="7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37E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18.0"/>
    <col customWidth="1" min="3" max="5" width="14.0"/>
    <col customWidth="1" min="6" max="6" width="12.0"/>
    <col customWidth="1" min="7" max="7" width="14.0"/>
    <col customWidth="1" min="8" max="8" width="12.0"/>
    <col customWidth="1" min="9" max="9" width="14.0"/>
    <col customWidth="1" min="10" max="10" width="16.0"/>
    <col customWidth="1" min="11" max="11" width="18.0"/>
  </cols>
  <sheetData>
    <row r="1" ht="17.25" customHeight="1">
      <c r="A1" s="1"/>
      <c r="B1" s="44" t="s">
        <v>558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5" t="s">
        <v>559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221" t="s">
        <v>560</v>
      </c>
      <c r="C4" s="46"/>
      <c r="D4" s="46"/>
      <c r="E4" s="46"/>
      <c r="F4" s="46"/>
      <c r="G4" s="46"/>
      <c r="H4" s="46"/>
      <c r="I4" s="46"/>
      <c r="J4" s="46"/>
      <c r="K4" s="4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/>
      <c r="B5" s="102" t="s">
        <v>561</v>
      </c>
      <c r="C5" s="102" t="s">
        <v>70</v>
      </c>
      <c r="D5" s="102" t="s">
        <v>562</v>
      </c>
      <c r="E5" s="102" t="s">
        <v>563</v>
      </c>
      <c r="F5" s="102" t="s">
        <v>564</v>
      </c>
      <c r="G5" s="102" t="s">
        <v>565</v>
      </c>
      <c r="H5" s="102" t="s">
        <v>566</v>
      </c>
      <c r="I5" s="102" t="s">
        <v>567</v>
      </c>
      <c r="J5" s="102" t="s">
        <v>5</v>
      </c>
      <c r="K5" s="22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03" t="s">
        <v>568</v>
      </c>
      <c r="C6" s="103" t="s">
        <v>569</v>
      </c>
      <c r="D6" s="103"/>
      <c r="E6" s="103"/>
      <c r="F6" s="186" t="s">
        <v>570</v>
      </c>
      <c r="G6" s="186" t="s">
        <v>571</v>
      </c>
      <c r="H6" s="186" t="s">
        <v>572</v>
      </c>
      <c r="I6" s="223"/>
      <c r="J6" s="58"/>
      <c r="K6" s="22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68" t="s">
        <v>573</v>
      </c>
      <c r="C7" s="68" t="s">
        <v>574</v>
      </c>
      <c r="D7" s="60"/>
      <c r="E7" s="60"/>
      <c r="F7" s="188" t="s">
        <v>570</v>
      </c>
      <c r="G7" s="188" t="s">
        <v>575</v>
      </c>
      <c r="H7" s="188" t="s">
        <v>572</v>
      </c>
      <c r="I7" s="223"/>
      <c r="J7" s="200"/>
      <c r="K7" s="7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03" t="s">
        <v>576</v>
      </c>
      <c r="C8" s="103" t="s">
        <v>577</v>
      </c>
      <c r="D8" s="103"/>
      <c r="E8" s="103"/>
      <c r="F8" s="186" t="s">
        <v>578</v>
      </c>
      <c r="G8" s="186" t="s">
        <v>579</v>
      </c>
      <c r="H8" s="186" t="s">
        <v>580</v>
      </c>
      <c r="I8" s="223"/>
      <c r="J8" s="58"/>
      <c r="K8" s="22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68" t="s">
        <v>581</v>
      </c>
      <c r="C9" s="68" t="s">
        <v>577</v>
      </c>
      <c r="D9" s="60"/>
      <c r="E9" s="60"/>
      <c r="F9" s="188" t="s">
        <v>570</v>
      </c>
      <c r="G9" s="188" t="s">
        <v>571</v>
      </c>
      <c r="H9" s="188" t="s">
        <v>572</v>
      </c>
      <c r="I9" s="223"/>
      <c r="J9" s="200"/>
      <c r="K9" s="7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03" t="s">
        <v>582</v>
      </c>
      <c r="C10" s="103" t="s">
        <v>583</v>
      </c>
      <c r="D10" s="103"/>
      <c r="E10" s="103"/>
      <c r="F10" s="186" t="s">
        <v>570</v>
      </c>
      <c r="G10" s="186" t="s">
        <v>571</v>
      </c>
      <c r="H10" s="186" t="s">
        <v>572</v>
      </c>
      <c r="I10" s="223"/>
      <c r="J10" s="58"/>
      <c r="K10" s="22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68" t="s">
        <v>584</v>
      </c>
      <c r="C11" s="68" t="s">
        <v>585</v>
      </c>
      <c r="D11" s="60"/>
      <c r="E11" s="60"/>
      <c r="F11" s="188" t="s">
        <v>570</v>
      </c>
      <c r="G11" s="188" t="s">
        <v>571</v>
      </c>
      <c r="H11" s="188" t="s">
        <v>572</v>
      </c>
      <c r="I11" s="223"/>
      <c r="J11" s="200"/>
      <c r="K11" s="7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03"/>
      <c r="C12" s="103"/>
      <c r="D12" s="103"/>
      <c r="E12" s="103"/>
      <c r="F12" s="103"/>
      <c r="G12" s="103"/>
      <c r="H12" s="103"/>
      <c r="I12" s="225"/>
      <c r="J12" s="103"/>
      <c r="K12" s="22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60"/>
      <c r="C13" s="60"/>
      <c r="D13" s="60"/>
      <c r="E13" s="60"/>
      <c r="F13" s="60"/>
      <c r="G13" s="60"/>
      <c r="H13" s="60"/>
      <c r="I13" s="225"/>
      <c r="J13" s="60"/>
      <c r="K13" s="7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03"/>
      <c r="C14" s="103"/>
      <c r="D14" s="103"/>
      <c r="E14" s="103"/>
      <c r="F14" s="103"/>
      <c r="G14" s="103"/>
      <c r="H14" s="103"/>
      <c r="I14" s="225"/>
      <c r="J14" s="103"/>
      <c r="K14" s="22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60"/>
      <c r="C15" s="60"/>
      <c r="D15" s="60"/>
      <c r="E15" s="60"/>
      <c r="F15" s="60"/>
      <c r="G15" s="60"/>
      <c r="H15" s="60"/>
      <c r="I15" s="225"/>
      <c r="J15" s="60"/>
      <c r="K15" s="7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03"/>
      <c r="C16" s="103"/>
      <c r="D16" s="103"/>
      <c r="E16" s="103"/>
      <c r="F16" s="103"/>
      <c r="G16" s="103"/>
      <c r="H16" s="103"/>
      <c r="I16" s="225"/>
      <c r="J16" s="103"/>
      <c r="K16" s="22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60"/>
      <c r="C17" s="60"/>
      <c r="D17" s="60"/>
      <c r="E17" s="60"/>
      <c r="F17" s="60"/>
      <c r="G17" s="60"/>
      <c r="H17" s="60"/>
      <c r="I17" s="225"/>
      <c r="J17" s="60"/>
      <c r="K17" s="7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03"/>
      <c r="C18" s="103"/>
      <c r="D18" s="103"/>
      <c r="E18" s="103"/>
      <c r="F18" s="103"/>
      <c r="G18" s="103"/>
      <c r="H18" s="103"/>
      <c r="I18" s="225"/>
      <c r="J18" s="103"/>
      <c r="K18" s="22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60"/>
      <c r="C19" s="60"/>
      <c r="D19" s="60"/>
      <c r="E19" s="60"/>
      <c r="F19" s="60"/>
      <c r="G19" s="60"/>
      <c r="H19" s="60"/>
      <c r="I19" s="225"/>
      <c r="J19" s="60"/>
      <c r="K19" s="7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03"/>
      <c r="C20" s="103"/>
      <c r="D20" s="103"/>
      <c r="E20" s="103"/>
      <c r="F20" s="103"/>
      <c r="G20" s="103"/>
      <c r="H20" s="103"/>
      <c r="I20" s="225"/>
      <c r="J20" s="103"/>
      <c r="K20" s="22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60"/>
      <c r="C21" s="60"/>
      <c r="D21" s="60"/>
      <c r="E21" s="60"/>
      <c r="F21" s="60"/>
      <c r="G21" s="60"/>
      <c r="H21" s="60"/>
      <c r="I21" s="225"/>
      <c r="J21" s="60"/>
      <c r="K21" s="7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03"/>
      <c r="C22" s="103"/>
      <c r="D22" s="103"/>
      <c r="E22" s="103"/>
      <c r="F22" s="103"/>
      <c r="G22" s="103"/>
      <c r="H22" s="103"/>
      <c r="I22" s="225"/>
      <c r="J22" s="103"/>
      <c r="K22" s="22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60"/>
      <c r="C23" s="60"/>
      <c r="D23" s="60"/>
      <c r="E23" s="60"/>
      <c r="F23" s="60"/>
      <c r="G23" s="60"/>
      <c r="H23" s="60"/>
      <c r="I23" s="225"/>
      <c r="J23" s="60"/>
      <c r="K23" s="7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03"/>
      <c r="C24" s="103"/>
      <c r="D24" s="103"/>
      <c r="E24" s="103"/>
      <c r="F24" s="103"/>
      <c r="G24" s="103"/>
      <c r="H24" s="103"/>
      <c r="I24" s="225"/>
      <c r="J24" s="103"/>
      <c r="K24" s="22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60"/>
      <c r="C25" s="60"/>
      <c r="D25" s="60"/>
      <c r="E25" s="60"/>
      <c r="F25" s="60"/>
      <c r="G25" s="60"/>
      <c r="H25" s="60"/>
      <c r="I25" s="225"/>
      <c r="J25" s="60"/>
      <c r="K25" s="7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77" t="s">
        <v>586</v>
      </c>
      <c r="C27" s="46"/>
      <c r="D27" s="46"/>
      <c r="E27" s="46"/>
      <c r="F27" s="46"/>
      <c r="G27" s="46"/>
      <c r="H27" s="46"/>
      <c r="I27" s="46"/>
      <c r="J27" s="46"/>
      <c r="K27" s="4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02" t="s">
        <v>565</v>
      </c>
      <c r="C28" s="102" t="s">
        <v>587</v>
      </c>
      <c r="D28" s="102" t="s">
        <v>588</v>
      </c>
      <c r="E28" s="102" t="s">
        <v>133</v>
      </c>
      <c r="F28" s="102" t="s">
        <v>566</v>
      </c>
      <c r="G28" s="102" t="s">
        <v>589</v>
      </c>
      <c r="H28" s="102" t="s">
        <v>5</v>
      </c>
      <c r="I28" s="222"/>
      <c r="J28" s="222"/>
      <c r="K28" s="22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226"/>
      <c r="C29" s="103"/>
      <c r="D29" s="103"/>
      <c r="E29" s="59"/>
      <c r="F29" s="205"/>
      <c r="G29" s="205"/>
      <c r="H29" s="58"/>
      <c r="I29" s="224"/>
      <c r="J29" s="224"/>
      <c r="K29" s="22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227"/>
      <c r="C30" s="60"/>
      <c r="D30" s="60"/>
      <c r="E30" s="59"/>
      <c r="F30" s="208"/>
      <c r="G30" s="208"/>
      <c r="H30" s="200"/>
      <c r="I30" s="78"/>
      <c r="J30" s="78"/>
      <c r="K30" s="7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226"/>
      <c r="C31" s="103"/>
      <c r="D31" s="103"/>
      <c r="E31" s="59"/>
      <c r="F31" s="205"/>
      <c r="G31" s="205"/>
      <c r="H31" s="58"/>
      <c r="I31" s="224"/>
      <c r="J31" s="224"/>
      <c r="K31" s="22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27"/>
      <c r="C32" s="60"/>
      <c r="D32" s="60"/>
      <c r="E32" s="59"/>
      <c r="F32" s="208"/>
      <c r="G32" s="208"/>
      <c r="H32" s="200"/>
      <c r="I32" s="78"/>
      <c r="J32" s="78"/>
      <c r="K32" s="7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226"/>
      <c r="C33" s="103"/>
      <c r="D33" s="103"/>
      <c r="E33" s="59"/>
      <c r="F33" s="205"/>
      <c r="G33" s="205"/>
      <c r="H33" s="58"/>
      <c r="I33" s="224"/>
      <c r="J33" s="224"/>
      <c r="K33" s="22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27"/>
      <c r="C34" s="60"/>
      <c r="D34" s="60"/>
      <c r="E34" s="59"/>
      <c r="F34" s="208"/>
      <c r="G34" s="208"/>
      <c r="H34" s="200"/>
      <c r="I34" s="78"/>
      <c r="J34" s="78"/>
      <c r="K34" s="7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226"/>
      <c r="C35" s="103"/>
      <c r="D35" s="103"/>
      <c r="E35" s="59"/>
      <c r="F35" s="205"/>
      <c r="G35" s="205"/>
      <c r="H35" s="58"/>
      <c r="I35" s="224"/>
      <c r="J35" s="224"/>
      <c r="K35" s="22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227"/>
      <c r="C36" s="60"/>
      <c r="D36" s="60"/>
      <c r="E36" s="59"/>
      <c r="F36" s="208"/>
      <c r="G36" s="208"/>
      <c r="H36" s="200"/>
      <c r="I36" s="78"/>
      <c r="J36" s="78"/>
      <c r="K36" s="7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226"/>
      <c r="C37" s="103"/>
      <c r="D37" s="103"/>
      <c r="E37" s="59"/>
      <c r="F37" s="205"/>
      <c r="G37" s="205"/>
      <c r="H37" s="58"/>
      <c r="I37" s="224"/>
      <c r="J37" s="224"/>
      <c r="K37" s="22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227"/>
      <c r="C38" s="60"/>
      <c r="D38" s="60"/>
      <c r="E38" s="59"/>
      <c r="F38" s="208"/>
      <c r="G38" s="208"/>
      <c r="H38" s="200"/>
      <c r="I38" s="78"/>
      <c r="J38" s="78"/>
      <c r="K38" s="7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226"/>
      <c r="C39" s="103"/>
      <c r="D39" s="103"/>
      <c r="E39" s="59"/>
      <c r="F39" s="205"/>
      <c r="G39" s="205"/>
      <c r="H39" s="58"/>
      <c r="I39" s="224"/>
      <c r="J39" s="224"/>
      <c r="K39" s="22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227"/>
      <c r="C40" s="60"/>
      <c r="D40" s="60"/>
      <c r="E40" s="59"/>
      <c r="F40" s="208"/>
      <c r="G40" s="208"/>
      <c r="H40" s="200"/>
      <c r="I40" s="78"/>
      <c r="J40" s="78"/>
      <c r="K40" s="7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226"/>
      <c r="C41" s="103"/>
      <c r="D41" s="103"/>
      <c r="E41" s="59"/>
      <c r="F41" s="205"/>
      <c r="G41" s="205"/>
      <c r="H41" s="58"/>
      <c r="I41" s="224"/>
      <c r="J41" s="224"/>
      <c r="K41" s="22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227"/>
      <c r="C42" s="60"/>
      <c r="D42" s="60"/>
      <c r="E42" s="59"/>
      <c r="F42" s="208"/>
      <c r="G42" s="208"/>
      <c r="H42" s="200"/>
      <c r="I42" s="78"/>
      <c r="J42" s="78"/>
      <c r="K42" s="7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226"/>
      <c r="C43" s="103"/>
      <c r="D43" s="103"/>
      <c r="E43" s="59"/>
      <c r="F43" s="205"/>
      <c r="G43" s="205"/>
      <c r="H43" s="58"/>
      <c r="I43" s="224"/>
      <c r="J43" s="224"/>
      <c r="K43" s="22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227"/>
      <c r="C44" s="60"/>
      <c r="D44" s="60"/>
      <c r="E44" s="59"/>
      <c r="F44" s="208"/>
      <c r="G44" s="208"/>
      <c r="H44" s="200"/>
      <c r="I44" s="78"/>
      <c r="J44" s="78"/>
      <c r="K44" s="7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226"/>
      <c r="C45" s="103"/>
      <c r="D45" s="103"/>
      <c r="E45" s="59"/>
      <c r="F45" s="205"/>
      <c r="G45" s="205"/>
      <c r="H45" s="58"/>
      <c r="I45" s="224"/>
      <c r="J45" s="224"/>
      <c r="K45" s="2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227"/>
      <c r="C46" s="60"/>
      <c r="D46" s="60"/>
      <c r="E46" s="59"/>
      <c r="F46" s="208"/>
      <c r="G46" s="208"/>
      <c r="H46" s="200"/>
      <c r="I46" s="78"/>
      <c r="J46" s="78"/>
      <c r="K46" s="7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226"/>
      <c r="C47" s="103"/>
      <c r="D47" s="103"/>
      <c r="E47" s="59"/>
      <c r="F47" s="205"/>
      <c r="G47" s="205"/>
      <c r="H47" s="58"/>
      <c r="I47" s="224"/>
      <c r="J47" s="224"/>
      <c r="K47" s="2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227"/>
      <c r="C48" s="60"/>
      <c r="D48" s="60"/>
      <c r="E48" s="59"/>
      <c r="F48" s="208"/>
      <c r="G48" s="208"/>
      <c r="H48" s="200"/>
      <c r="I48" s="78"/>
      <c r="J48" s="78"/>
      <c r="K48" s="7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72" t="s">
        <v>590</v>
      </c>
      <c r="C49" s="74"/>
      <c r="D49" s="74"/>
      <c r="E49" s="73">
        <f>SUM(E29:E48)</f>
        <v>0</v>
      </c>
      <c r="F49" s="74"/>
      <c r="G49" s="74"/>
      <c r="H49" s="74"/>
      <c r="I49" s="74"/>
      <c r="J49" s="74"/>
      <c r="K49" s="7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K1"/>
    <mergeCell ref="B4:K4"/>
    <mergeCell ref="B27:K27"/>
  </mergeCells>
  <printOptions/>
  <pageMargins bottom="1.0" footer="0.0" header="0.0" left="0.75" right="0.75" top="1.0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.0"/>
    <col customWidth="1" min="2" max="2" width="20.0"/>
    <col customWidth="1" min="3" max="6" width="14.0"/>
    <col customWidth="1" min="7" max="7" width="3.0"/>
    <col customWidth="1" min="8" max="19" width="14.0"/>
  </cols>
  <sheetData>
    <row r="1" ht="21.0" customHeight="1">
      <c r="A1" s="1"/>
      <c r="B1" s="44" t="s">
        <v>591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5" t="s">
        <v>592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95" t="s">
        <v>593</v>
      </c>
      <c r="E3" s="228" t="s">
        <v>594</v>
      </c>
      <c r="F3" s="229" t="s">
        <v>468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85" t="s">
        <v>595</v>
      </c>
      <c r="C4" s="46"/>
      <c r="D4" s="46"/>
      <c r="E4" s="46"/>
      <c r="F4" s="46"/>
      <c r="G4" s="1"/>
      <c r="H4" s="53" t="s">
        <v>596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1"/>
      <c r="U4" s="1"/>
      <c r="V4" s="1"/>
      <c r="W4" s="1"/>
      <c r="X4" s="1"/>
      <c r="Y4" s="1"/>
      <c r="Z4" s="1"/>
    </row>
    <row r="5" ht="15.0" customHeight="1">
      <c r="A5" s="1"/>
      <c r="B5" s="102" t="s">
        <v>3</v>
      </c>
      <c r="C5" s="102" t="s">
        <v>243</v>
      </c>
      <c r="D5" s="102" t="s">
        <v>160</v>
      </c>
      <c r="E5" s="102" t="s">
        <v>597</v>
      </c>
      <c r="F5" s="102" t="s">
        <v>162</v>
      </c>
      <c r="G5" s="1"/>
      <c r="H5" s="230" t="s">
        <v>468</v>
      </c>
      <c r="I5" s="230" t="s">
        <v>469</v>
      </c>
      <c r="J5" s="230" t="s">
        <v>470</v>
      </c>
      <c r="K5" s="230" t="s">
        <v>471</v>
      </c>
      <c r="L5" s="230" t="s">
        <v>98</v>
      </c>
      <c r="M5" s="230" t="s">
        <v>99</v>
      </c>
      <c r="N5" s="230" t="s">
        <v>100</v>
      </c>
      <c r="O5" s="230" t="s">
        <v>101</v>
      </c>
      <c r="P5" s="230" t="s">
        <v>102</v>
      </c>
      <c r="Q5" s="230" t="s">
        <v>103</v>
      </c>
      <c r="R5" s="230" t="s">
        <v>104</v>
      </c>
      <c r="S5" s="230" t="s">
        <v>105</v>
      </c>
      <c r="T5" s="1"/>
      <c r="U5" s="1"/>
      <c r="V5" s="1"/>
      <c r="W5" s="1"/>
      <c r="X5" s="1"/>
      <c r="Y5" s="1"/>
      <c r="Z5" s="1"/>
    </row>
    <row r="6" ht="15.0" customHeight="1">
      <c r="A6" s="1"/>
      <c r="B6" s="58" t="s">
        <v>246</v>
      </c>
      <c r="C6" s="59">
        <f t="array" ref="C6">INDEX('売上計画'!$C$45:$N$45, 1, MATCH($F$3, '売上計画'!$C$42:$N$42, 0))</f>
        <v>0</v>
      </c>
      <c r="D6" s="89">
        <f t="array" ref="D6">IFERROR(INDIRECT("'"&amp;$F$3&amp;"'!H20"),0)</f>
        <v>0</v>
      </c>
      <c r="E6" s="104">
        <f t="shared" ref="E6:E15" si="1">D6-C6</f>
        <v>0</v>
      </c>
      <c r="F6" s="231">
        <f t="shared" ref="F6:F15" si="2">IF(C6=0,0,D6/C6)</f>
        <v>0</v>
      </c>
      <c r="G6" s="106" t="s">
        <v>598</v>
      </c>
      <c r="H6" s="59">
        <f>'売上計画'!C45</f>
        <v>0</v>
      </c>
      <c r="I6" s="59">
        <f>'売上計画'!D45</f>
        <v>0</v>
      </c>
      <c r="J6" s="59">
        <f>'売上計画'!E45</f>
        <v>0</v>
      </c>
      <c r="K6" s="59">
        <f>'売上計画'!F45</f>
        <v>0</v>
      </c>
      <c r="L6" s="59">
        <f>'売上計画'!G45</f>
        <v>654100</v>
      </c>
      <c r="M6" s="59">
        <f>'売上計画'!H45</f>
        <v>709500</v>
      </c>
      <c r="N6" s="59">
        <f>'売上計画'!I45</f>
        <v>1091200</v>
      </c>
      <c r="O6" s="59">
        <f>'売上計画'!J45</f>
        <v>1527000</v>
      </c>
      <c r="P6" s="59">
        <f>'売上計画'!K45</f>
        <v>1731350</v>
      </c>
      <c r="Q6" s="59">
        <f>'売上計画'!L45</f>
        <v>1094300</v>
      </c>
      <c r="R6" s="59">
        <f>'売上計画'!M45</f>
        <v>1038800</v>
      </c>
      <c r="S6" s="59">
        <f>'売上計画'!N45</f>
        <v>1997950</v>
      </c>
      <c r="T6" s="1"/>
      <c r="U6" s="1"/>
      <c r="V6" s="1"/>
      <c r="W6" s="1"/>
      <c r="X6" s="1"/>
      <c r="Y6" s="1"/>
      <c r="Z6" s="1"/>
    </row>
    <row r="7" ht="15.0" customHeight="1">
      <c r="A7" s="1"/>
      <c r="B7" s="200" t="s">
        <v>183</v>
      </c>
      <c r="C7" s="59">
        <f t="array" ref="C7">INDEX('売上計画'!$C$46:$N$46, 1, MATCH($F$3, '売上計画'!$C$42:$N$42, 0))</f>
        <v>0</v>
      </c>
      <c r="D7" s="52">
        <f t="array" ref="D7">IFERROR(INDIRECT("'"&amp;$F$3&amp;"'!C16"),0)</f>
        <v>0</v>
      </c>
      <c r="E7" s="65">
        <f t="shared" si="1"/>
        <v>0</v>
      </c>
      <c r="F7" s="96">
        <f t="shared" si="2"/>
        <v>0</v>
      </c>
      <c r="G7" s="58" t="s">
        <v>599</v>
      </c>
      <c r="H7" s="52">
        <f>'4月'!H20</f>
        <v>0</v>
      </c>
      <c r="I7" s="52">
        <f>'5月'!H20</f>
        <v>0</v>
      </c>
      <c r="J7" s="52">
        <f>'6月'!H20</f>
        <v>0</v>
      </c>
      <c r="K7" s="52">
        <f>'7月'!H20</f>
        <v>0</v>
      </c>
      <c r="L7" s="52">
        <f>'8月'!H20</f>
        <v>0</v>
      </c>
      <c r="M7" s="52">
        <f>'9月'!H20</f>
        <v>0</v>
      </c>
      <c r="N7" s="52">
        <f>'10月'!H20</f>
        <v>0</v>
      </c>
      <c r="O7" s="52">
        <f>'11月'!H20</f>
        <v>0</v>
      </c>
      <c r="P7" s="52">
        <f>'12月'!H20</f>
        <v>0</v>
      </c>
      <c r="Q7" s="52">
        <f>'1月'!H20</f>
        <v>0</v>
      </c>
      <c r="R7" s="52">
        <f>'2月'!H20</f>
        <v>0</v>
      </c>
      <c r="S7" s="52">
        <f>'3月'!H20</f>
        <v>0</v>
      </c>
      <c r="T7" s="1"/>
      <c r="U7" s="1"/>
      <c r="V7" s="1"/>
      <c r="W7" s="1"/>
      <c r="X7" s="1"/>
      <c r="Y7" s="1"/>
      <c r="Z7" s="1"/>
    </row>
    <row r="8" ht="15.0" customHeight="1">
      <c r="A8" s="1"/>
      <c r="B8" s="232" t="s">
        <v>185</v>
      </c>
      <c r="C8" s="233">
        <f t="shared" ref="C8:D8" si="3">C6-C7</f>
        <v>0</v>
      </c>
      <c r="D8" s="234">
        <f t="shared" si="3"/>
        <v>0</v>
      </c>
      <c r="E8" s="234">
        <f t="shared" si="1"/>
        <v>0</v>
      </c>
      <c r="F8" s="235">
        <f t="shared" si="2"/>
        <v>0</v>
      </c>
      <c r="G8" s="106" t="s">
        <v>162</v>
      </c>
      <c r="H8" s="96">
        <f t="shared" ref="H8:S8" si="4">IF(H6=0,0,H7/H6)</f>
        <v>0</v>
      </c>
      <c r="I8" s="96">
        <f t="shared" si="4"/>
        <v>0</v>
      </c>
      <c r="J8" s="96">
        <f t="shared" si="4"/>
        <v>0</v>
      </c>
      <c r="K8" s="96">
        <f t="shared" si="4"/>
        <v>0</v>
      </c>
      <c r="L8" s="96">
        <f t="shared" si="4"/>
        <v>0</v>
      </c>
      <c r="M8" s="96">
        <f t="shared" si="4"/>
        <v>0</v>
      </c>
      <c r="N8" s="96">
        <f t="shared" si="4"/>
        <v>0</v>
      </c>
      <c r="O8" s="96">
        <f t="shared" si="4"/>
        <v>0</v>
      </c>
      <c r="P8" s="96">
        <f t="shared" si="4"/>
        <v>0</v>
      </c>
      <c r="Q8" s="96">
        <f t="shared" si="4"/>
        <v>0</v>
      </c>
      <c r="R8" s="96">
        <f t="shared" si="4"/>
        <v>0</v>
      </c>
      <c r="S8" s="96">
        <f t="shared" si="4"/>
        <v>0</v>
      </c>
      <c r="T8" s="1"/>
      <c r="U8" s="1"/>
      <c r="V8" s="1"/>
      <c r="W8" s="1"/>
      <c r="X8" s="1"/>
      <c r="Y8" s="1"/>
      <c r="Z8" s="1"/>
    </row>
    <row r="9" ht="15.0" customHeight="1">
      <c r="A9" s="1"/>
      <c r="B9" s="200" t="s">
        <v>600</v>
      </c>
      <c r="C9" s="59">
        <f t="array" ref="C9">INDEX('売上計画'!$C$54:$N$54, 1, MATCH($F$3, '売上計画'!$C$42:$N$42, 0))</f>
        <v>0</v>
      </c>
      <c r="D9" s="52">
        <f t="array" ref="D9">IFERROR(INDIRECT("'"&amp;$F$3&amp;"'!C20"),0)</f>
        <v>0</v>
      </c>
      <c r="E9" s="65">
        <f t="shared" si="1"/>
        <v>0</v>
      </c>
      <c r="F9" s="96">
        <f t="shared" si="2"/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58" t="s">
        <v>201</v>
      </c>
      <c r="C10" s="59">
        <f t="array" ref="C10">INDIRECT("'"&amp;$F$3&amp;"'!C20")</f>
        <v>0</v>
      </c>
      <c r="D10" s="89">
        <f t="array" ref="D10">IFERROR(INDIRECT("'"&amp;$F$3&amp;"'!C21"),0)</f>
        <v>0</v>
      </c>
      <c r="E10" s="104">
        <f t="shared" si="1"/>
        <v>0</v>
      </c>
      <c r="F10" s="231">
        <f t="shared" si="2"/>
        <v>0</v>
      </c>
      <c r="G10" s="106" t="s">
        <v>601</v>
      </c>
      <c r="H10" s="59" t="str">
        <f>'売上計画'!C61</f>
        <v/>
      </c>
      <c r="I10" s="59" t="str">
        <f>'売上計画'!D61</f>
        <v/>
      </c>
      <c r="J10" s="59" t="str">
        <f>'売上計画'!E61</f>
        <v/>
      </c>
      <c r="K10" s="59" t="str">
        <f>'売上計画'!F61</f>
        <v/>
      </c>
      <c r="L10" s="59" t="str">
        <f>'売上計画'!G61</f>
        <v/>
      </c>
      <c r="M10" s="59" t="str">
        <f>'売上計画'!H61</f>
        <v/>
      </c>
      <c r="N10" s="59" t="str">
        <f>'売上計画'!I61</f>
        <v/>
      </c>
      <c r="O10" s="59" t="str">
        <f>'売上計画'!J61</f>
        <v/>
      </c>
      <c r="P10" s="59" t="str">
        <f>'売上計画'!K61</f>
        <v/>
      </c>
      <c r="Q10" s="59" t="str">
        <f>'売上計画'!L61</f>
        <v/>
      </c>
      <c r="R10" s="59" t="str">
        <f>'売上計画'!M61</f>
        <v/>
      </c>
      <c r="S10" s="59" t="str">
        <f>'売上計画'!N61</f>
        <v/>
      </c>
      <c r="T10" s="1"/>
      <c r="U10" s="1"/>
      <c r="V10" s="1"/>
      <c r="W10" s="1"/>
      <c r="X10" s="1"/>
      <c r="Y10" s="1"/>
      <c r="Z10" s="1"/>
    </row>
    <row r="11" ht="15.0" customHeight="1">
      <c r="A11" s="1"/>
      <c r="B11" s="200" t="s">
        <v>206</v>
      </c>
      <c r="C11" s="59">
        <f t="array" ref="C11">INDIRECT("'"&amp;$F$3&amp;"'!C21")</f>
        <v>0</v>
      </c>
      <c r="D11" s="52">
        <f t="array" ref="D11">IFERROR(INDIRECT("'"&amp;$F$3&amp;"'!C22"),0)</f>
        <v>0</v>
      </c>
      <c r="E11" s="65">
        <f t="shared" si="1"/>
        <v>0</v>
      </c>
      <c r="F11" s="96">
        <f t="shared" si="2"/>
        <v>0</v>
      </c>
      <c r="G11" s="58" t="s">
        <v>602</v>
      </c>
      <c r="H11" s="52">
        <f>'4月'!I39</f>
        <v>0</v>
      </c>
      <c r="I11" s="52">
        <f>'5月'!I39</f>
        <v>0</v>
      </c>
      <c r="J11" s="52">
        <f>'6月'!I39</f>
        <v>-14433.83333</v>
      </c>
      <c r="K11" s="52">
        <f>'7月'!I39</f>
        <v>-14433.83333</v>
      </c>
      <c r="L11" s="52">
        <f>'8月'!I39</f>
        <v>-241729.2333</v>
      </c>
      <c r="M11" s="52">
        <f>'9月'!I39</f>
        <v>-241729.2333</v>
      </c>
      <c r="N11" s="52">
        <f>'10月'!I39</f>
        <v>-312176.9333</v>
      </c>
      <c r="O11" s="52">
        <f>'11月'!I39</f>
        <v>-312176.9333</v>
      </c>
      <c r="P11" s="52">
        <f>'12月'!I39</f>
        <v>-312176.9333</v>
      </c>
      <c r="Q11" s="52">
        <f>'1月'!I39</f>
        <v>-312176.9333</v>
      </c>
      <c r="R11" s="52">
        <f>'2月'!I39</f>
        <v>-312176.9333</v>
      </c>
      <c r="S11" s="52">
        <f>'3月'!I39</f>
        <v>-312176.9333</v>
      </c>
      <c r="T11" s="1"/>
      <c r="U11" s="1"/>
      <c r="V11" s="1"/>
      <c r="W11" s="1"/>
      <c r="X11" s="1"/>
      <c r="Y11" s="1"/>
      <c r="Z11" s="1"/>
    </row>
    <row r="12" ht="15.0" customHeight="1">
      <c r="A12" s="1"/>
      <c r="B12" s="58" t="s">
        <v>231</v>
      </c>
      <c r="C12" s="59">
        <f t="shared" ref="C12:D12" si="5">C13-C9-C10-C11</f>
        <v>0</v>
      </c>
      <c r="D12" s="104">
        <f t="shared" si="5"/>
        <v>0</v>
      </c>
      <c r="E12" s="104">
        <f t="shared" si="1"/>
        <v>0</v>
      </c>
      <c r="F12" s="231">
        <f t="shared" si="2"/>
        <v>0</v>
      </c>
      <c r="G12" s="106" t="s">
        <v>162</v>
      </c>
      <c r="H12" s="96">
        <f t="shared" ref="H12:S12" si="6">IF(H10=0,0,H11/H10)</f>
        <v>0</v>
      </c>
      <c r="I12" s="96">
        <f t="shared" si="6"/>
        <v>0</v>
      </c>
      <c r="J12" s="96">
        <f t="shared" si="6"/>
        <v>0</v>
      </c>
      <c r="K12" s="96">
        <f t="shared" si="6"/>
        <v>0</v>
      </c>
      <c r="L12" s="96">
        <f t="shared" si="6"/>
        <v>0</v>
      </c>
      <c r="M12" s="96">
        <f t="shared" si="6"/>
        <v>0</v>
      </c>
      <c r="N12" s="96">
        <f t="shared" si="6"/>
        <v>0</v>
      </c>
      <c r="O12" s="96">
        <f t="shared" si="6"/>
        <v>0</v>
      </c>
      <c r="P12" s="96">
        <f t="shared" si="6"/>
        <v>0</v>
      </c>
      <c r="Q12" s="96">
        <f t="shared" si="6"/>
        <v>0</v>
      </c>
      <c r="R12" s="96">
        <f t="shared" si="6"/>
        <v>0</v>
      </c>
      <c r="S12" s="96">
        <f t="shared" si="6"/>
        <v>0</v>
      </c>
      <c r="T12" s="1"/>
      <c r="U12" s="1"/>
      <c r="V12" s="1"/>
      <c r="W12" s="1"/>
      <c r="X12" s="1"/>
      <c r="Y12" s="1"/>
      <c r="Z12" s="1"/>
    </row>
    <row r="13" ht="15.0" customHeight="1">
      <c r="A13" s="1"/>
      <c r="B13" s="200" t="s">
        <v>208</v>
      </c>
      <c r="C13" s="59">
        <f t="array" ref="C13">INDEX('売上計画'!$C$59:$N$59, 1, MATCH($F$3, '売上計画'!$C$42:$N$42, 0))</f>
        <v>0</v>
      </c>
      <c r="D13" s="52">
        <f t="array" ref="D13">IFERROR(INDIRECT("'"&amp;$F$3&amp;"'!C30"),0)</f>
        <v>0</v>
      </c>
      <c r="E13" s="65">
        <f t="shared" si="1"/>
        <v>0</v>
      </c>
      <c r="F13" s="96">
        <f t="shared" si="2"/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58" t="s">
        <v>603</v>
      </c>
      <c r="C14" s="59">
        <f t="array" ref="C14">INDIRECT("'"&amp;$F$3&amp;"'!C54")</f>
        <v>0</v>
      </c>
      <c r="D14" s="89">
        <f t="array" ref="D14">IFERROR(INDIRECT("'"&amp;$F$3&amp;"'!C54"),0)</f>
        <v>0</v>
      </c>
      <c r="E14" s="104">
        <f t="shared" si="1"/>
        <v>0</v>
      </c>
      <c r="F14" s="231">
        <f t="shared" si="2"/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232" t="s">
        <v>223</v>
      </c>
      <c r="C15" s="233">
        <f t="shared" ref="C15:D15" si="7">C8-C13-C14</f>
        <v>0</v>
      </c>
      <c r="D15" s="234">
        <f t="shared" si="7"/>
        <v>0</v>
      </c>
      <c r="E15" s="234">
        <f t="shared" si="1"/>
        <v>0</v>
      </c>
      <c r="F15" s="235">
        <f t="shared" si="2"/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F1"/>
    <mergeCell ref="B4:F4"/>
    <mergeCell ref="H4:S4"/>
  </mergeCells>
  <printOptions/>
  <pageMargins bottom="1.0" footer="0.0" header="0.0" left="0.75" right="0.75" top="1.0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3.0"/>
    <col customWidth="1" min="2" max="2" width="40.14"/>
    <col customWidth="1" min="3" max="14" width="14.0"/>
    <col customWidth="1" min="15" max="15" width="16.0"/>
    <col customWidth="1" min="16" max="19" width="8.71"/>
  </cols>
  <sheetData>
    <row r="1" ht="21.0" customHeight="1">
      <c r="A1" s="118"/>
      <c r="B1" s="44" t="s">
        <v>604</v>
      </c>
      <c r="P1" s="118"/>
      <c r="Q1" s="118"/>
      <c r="R1" s="118"/>
      <c r="S1" s="118"/>
      <c r="T1" s="1"/>
      <c r="U1" s="1"/>
      <c r="V1" s="1"/>
      <c r="W1" s="1"/>
      <c r="X1" s="1"/>
      <c r="Y1" s="1"/>
      <c r="Z1" s="1"/>
    </row>
    <row r="2" ht="15.0" customHeight="1">
      <c r="A2" s="118"/>
      <c r="B2" s="95" t="s">
        <v>605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"/>
      <c r="U2" s="1"/>
      <c r="V2" s="1"/>
      <c r="W2" s="1"/>
      <c r="X2" s="1"/>
      <c r="Y2" s="1"/>
      <c r="Z2" s="1"/>
    </row>
    <row r="3" ht="15.0" customHeight="1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"/>
      <c r="U3" s="1"/>
      <c r="V3" s="1"/>
      <c r="W3" s="1"/>
      <c r="X3" s="1"/>
      <c r="Y3" s="1"/>
      <c r="Z3" s="1"/>
    </row>
    <row r="4" ht="15.0" customHeight="1">
      <c r="A4" s="118"/>
      <c r="B4" s="53" t="s">
        <v>606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118"/>
      <c r="Q4" s="118"/>
      <c r="R4" s="118"/>
      <c r="S4" s="118"/>
      <c r="T4" s="1"/>
      <c r="U4" s="1"/>
      <c r="V4" s="1"/>
      <c r="W4" s="1"/>
      <c r="X4" s="1"/>
      <c r="Y4" s="1"/>
      <c r="Z4" s="1"/>
    </row>
    <row r="5" ht="15.0" customHeight="1">
      <c r="A5" s="118"/>
      <c r="B5" s="58" t="s">
        <v>607</v>
      </c>
      <c r="C5" s="59">
        <v>850.0</v>
      </c>
      <c r="D5" s="110" t="s">
        <v>608</v>
      </c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"/>
      <c r="U5" s="1"/>
      <c r="V5" s="1"/>
      <c r="W5" s="1"/>
      <c r="X5" s="1"/>
      <c r="Y5" s="1"/>
      <c r="Z5" s="1"/>
    </row>
    <row r="6" ht="15.0" customHeight="1">
      <c r="A6" s="118"/>
      <c r="B6" s="58" t="s">
        <v>609</v>
      </c>
      <c r="C6" s="59">
        <v>1800.0</v>
      </c>
      <c r="D6" s="110" t="s">
        <v>610</v>
      </c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"/>
      <c r="U6" s="1"/>
      <c r="V6" s="1"/>
      <c r="W6" s="1"/>
      <c r="X6" s="1"/>
      <c r="Y6" s="1"/>
      <c r="Z6" s="1"/>
    </row>
    <row r="7" ht="15.0" customHeight="1">
      <c r="A7" s="118"/>
      <c r="B7" s="58" t="s">
        <v>611</v>
      </c>
      <c r="C7" s="63">
        <v>30.0</v>
      </c>
      <c r="D7" s="236" t="s">
        <v>612</v>
      </c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"/>
      <c r="U7" s="1"/>
      <c r="V7" s="1"/>
      <c r="W7" s="1"/>
      <c r="X7" s="1"/>
      <c r="Y7" s="1"/>
      <c r="Z7" s="1"/>
    </row>
    <row r="8" ht="15.0" customHeight="1">
      <c r="A8" s="118"/>
      <c r="B8" s="58" t="s">
        <v>613</v>
      </c>
      <c r="C8" s="63">
        <f>C7</f>
        <v>30</v>
      </c>
      <c r="D8" s="236" t="s">
        <v>614</v>
      </c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"/>
      <c r="U8" s="1"/>
      <c r="V8" s="1"/>
      <c r="W8" s="1"/>
      <c r="X8" s="1"/>
      <c r="Y8" s="1"/>
      <c r="Z8" s="1"/>
    </row>
    <row r="9" ht="15.0" customHeight="1">
      <c r="A9" s="118"/>
      <c r="B9" s="58" t="s">
        <v>615</v>
      </c>
      <c r="C9" s="237">
        <v>0.3</v>
      </c>
      <c r="D9" s="110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"/>
      <c r="U9" s="1"/>
      <c r="V9" s="1"/>
      <c r="W9" s="1"/>
      <c r="X9" s="1"/>
      <c r="Y9" s="1"/>
      <c r="Z9" s="1"/>
    </row>
    <row r="10" ht="15.0" customHeight="1">
      <c r="A10" s="118"/>
      <c r="B10" s="58" t="s">
        <v>150</v>
      </c>
      <c r="C10" s="59">
        <v>1200.0</v>
      </c>
      <c r="D10" s="95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"/>
      <c r="U10" s="1"/>
      <c r="V10" s="1"/>
      <c r="W10" s="1"/>
      <c r="X10" s="1"/>
      <c r="Y10" s="1"/>
      <c r="Z10" s="1"/>
    </row>
    <row r="11" ht="15.0" customHeight="1">
      <c r="A11" s="118"/>
      <c r="B11" s="58" t="s">
        <v>616</v>
      </c>
      <c r="C11" s="63">
        <v>9.0</v>
      </c>
      <c r="D11" s="110" t="s">
        <v>617</v>
      </c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"/>
      <c r="U11" s="1"/>
      <c r="V11" s="1"/>
      <c r="W11" s="1"/>
      <c r="X11" s="1"/>
      <c r="Y11" s="1"/>
      <c r="Z11" s="1"/>
    </row>
    <row r="12" ht="16.5" customHeight="1">
      <c r="A12" s="118"/>
      <c r="B12" s="58" t="s">
        <v>618</v>
      </c>
      <c r="C12" s="63">
        <v>6.0</v>
      </c>
      <c r="D12" s="110" t="s">
        <v>619</v>
      </c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"/>
      <c r="U12" s="1"/>
      <c r="V12" s="1"/>
      <c r="W12" s="1"/>
      <c r="X12" s="1"/>
      <c r="Y12" s="1"/>
      <c r="Z12" s="1"/>
    </row>
    <row r="13" ht="15.0" customHeight="1">
      <c r="A13" s="118"/>
      <c r="B13" s="238"/>
      <c r="C13" s="238"/>
      <c r="D13" s="238"/>
      <c r="E13" s="238"/>
      <c r="F13" s="238"/>
      <c r="G13" s="238"/>
      <c r="H13" s="238"/>
      <c r="I13" s="239"/>
      <c r="J13" s="238"/>
      <c r="K13" s="238"/>
      <c r="L13" s="238"/>
      <c r="M13" s="238"/>
      <c r="N13" s="238"/>
      <c r="O13" s="238"/>
      <c r="P13" s="118"/>
      <c r="Q13" s="118"/>
      <c r="R13" s="118"/>
      <c r="S13" s="118"/>
      <c r="T13" s="1"/>
      <c r="U13" s="1"/>
      <c r="V13" s="1"/>
      <c r="W13" s="1"/>
      <c r="X13" s="1"/>
      <c r="Y13" s="1"/>
      <c r="Z13" s="1"/>
    </row>
    <row r="14" ht="15.0" customHeight="1">
      <c r="A14" s="118"/>
      <c r="B14" s="55" t="s">
        <v>620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118"/>
      <c r="Q14" s="118"/>
      <c r="R14" s="118"/>
      <c r="S14" s="118"/>
      <c r="T14" s="1"/>
      <c r="U14" s="1"/>
      <c r="V14" s="1"/>
      <c r="W14" s="1"/>
      <c r="X14" s="1"/>
      <c r="Y14" s="1"/>
      <c r="Z14" s="1"/>
    </row>
    <row r="15" ht="15.0" customHeight="1">
      <c r="A15" s="118"/>
      <c r="B15" s="102" t="s">
        <v>621</v>
      </c>
      <c r="C15" s="240" t="s">
        <v>622</v>
      </c>
      <c r="D15" s="240"/>
      <c r="E15" s="240" t="s">
        <v>623</v>
      </c>
      <c r="F15" s="241"/>
      <c r="G15" s="241"/>
      <c r="H15" s="241"/>
      <c r="I15" s="241"/>
      <c r="J15" s="241"/>
      <c r="K15" s="241"/>
      <c r="L15" s="241"/>
      <c r="M15" s="241"/>
      <c r="N15" s="241"/>
      <c r="O15" s="242"/>
      <c r="P15" s="118"/>
      <c r="Q15" s="118"/>
      <c r="R15" s="118"/>
      <c r="S15" s="118"/>
      <c r="T15" s="1"/>
      <c r="U15" s="1"/>
      <c r="V15" s="1"/>
      <c r="W15" s="1"/>
      <c r="X15" s="1"/>
      <c r="Y15" s="1"/>
      <c r="Z15" s="1"/>
    </row>
    <row r="16" ht="15.0" customHeight="1">
      <c r="A16" s="118"/>
      <c r="B16" s="243" t="s">
        <v>624</v>
      </c>
      <c r="C16" s="244">
        <v>1.0</v>
      </c>
      <c r="D16" s="241"/>
      <c r="E16" s="245" t="s">
        <v>625</v>
      </c>
      <c r="F16" s="241"/>
      <c r="G16" s="241"/>
      <c r="H16" s="241"/>
      <c r="I16" s="241"/>
      <c r="J16" s="241"/>
      <c r="K16" s="241"/>
      <c r="L16" s="241"/>
      <c r="M16" s="241"/>
      <c r="N16" s="241"/>
      <c r="O16" s="242"/>
      <c r="P16" s="118"/>
      <c r="Q16" s="118"/>
      <c r="R16" s="118"/>
      <c r="S16" s="118"/>
      <c r="T16" s="1"/>
      <c r="U16" s="1"/>
      <c r="V16" s="1"/>
      <c r="W16" s="1"/>
      <c r="X16" s="1"/>
      <c r="Y16" s="1"/>
      <c r="Z16" s="1"/>
    </row>
    <row r="17" ht="15.0" customHeight="1">
      <c r="A17" s="118"/>
      <c r="B17" s="243" t="s">
        <v>626</v>
      </c>
      <c r="C17" s="244">
        <v>1.5</v>
      </c>
      <c r="D17" s="241"/>
      <c r="E17" s="246" t="s">
        <v>627</v>
      </c>
      <c r="F17" s="241"/>
      <c r="G17" s="241"/>
      <c r="H17" s="241"/>
      <c r="I17" s="241"/>
      <c r="J17" s="241"/>
      <c r="K17" s="241"/>
      <c r="L17" s="241"/>
      <c r="M17" s="241"/>
      <c r="N17" s="241"/>
      <c r="O17" s="242"/>
      <c r="P17" s="118"/>
      <c r="Q17" s="118"/>
      <c r="R17" s="118"/>
      <c r="S17" s="118"/>
      <c r="T17" s="1"/>
      <c r="U17" s="1"/>
      <c r="V17" s="1"/>
      <c r="W17" s="1"/>
      <c r="X17" s="1"/>
      <c r="Y17" s="1"/>
      <c r="Z17" s="1"/>
    </row>
    <row r="18" ht="15.0" customHeight="1">
      <c r="A18" s="118"/>
      <c r="B18" s="243" t="s">
        <v>628</v>
      </c>
      <c r="C18" s="244">
        <v>2.0</v>
      </c>
      <c r="D18" s="242"/>
      <c r="E18" s="247" t="s">
        <v>629</v>
      </c>
      <c r="F18" s="242"/>
      <c r="G18" s="242"/>
      <c r="H18" s="242"/>
      <c r="I18" s="242"/>
      <c r="J18" s="242"/>
      <c r="K18" s="242"/>
      <c r="L18" s="242"/>
      <c r="M18" s="242"/>
      <c r="N18" s="242"/>
      <c r="O18" s="242"/>
      <c r="P18" s="118"/>
      <c r="Q18" s="118"/>
      <c r="R18" s="118"/>
      <c r="S18" s="118"/>
      <c r="T18" s="1"/>
      <c r="U18" s="1"/>
      <c r="V18" s="1"/>
      <c r="W18" s="1"/>
      <c r="X18" s="1"/>
      <c r="Y18" s="1"/>
      <c r="Z18" s="1"/>
    </row>
    <row r="19" ht="15.0" customHeight="1">
      <c r="A19" s="118"/>
      <c r="B19" s="243" t="s">
        <v>630</v>
      </c>
      <c r="C19" s="244">
        <v>2.5</v>
      </c>
      <c r="D19" s="120"/>
      <c r="E19" s="248" t="s">
        <v>631</v>
      </c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18"/>
      <c r="Q19" s="118"/>
      <c r="R19" s="118"/>
      <c r="S19" s="118"/>
      <c r="T19" s="1"/>
      <c r="U19" s="1"/>
      <c r="V19" s="1"/>
      <c r="W19" s="1"/>
      <c r="X19" s="1"/>
      <c r="Y19" s="1"/>
      <c r="Z19" s="1"/>
    </row>
    <row r="20" ht="15.0" customHeight="1">
      <c r="A20" s="118"/>
      <c r="B20" s="55" t="s">
        <v>632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118"/>
      <c r="Q20" s="118"/>
      <c r="R20" s="118"/>
      <c r="S20" s="118"/>
      <c r="T20" s="1"/>
      <c r="U20" s="1"/>
      <c r="V20" s="1"/>
      <c r="W20" s="1"/>
      <c r="X20" s="1"/>
      <c r="Y20" s="1"/>
      <c r="Z20" s="1"/>
    </row>
    <row r="21" ht="15.75" customHeight="1">
      <c r="A21" s="118"/>
      <c r="B21" s="102" t="s">
        <v>621</v>
      </c>
      <c r="C21" s="102" t="s">
        <v>622</v>
      </c>
      <c r="D21" s="230"/>
      <c r="E21" s="102" t="s">
        <v>623</v>
      </c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"/>
      <c r="U21" s="1"/>
      <c r="V21" s="1"/>
      <c r="W21" s="1"/>
      <c r="X21" s="1"/>
      <c r="Y21" s="1"/>
      <c r="Z21" s="1"/>
    </row>
    <row r="22" ht="16.5" customHeight="1">
      <c r="A22" s="118"/>
      <c r="B22" s="243" t="s">
        <v>633</v>
      </c>
      <c r="C22" s="244">
        <v>1.0</v>
      </c>
      <c r="D22" s="118"/>
      <c r="E22" s="95" t="s">
        <v>625</v>
      </c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"/>
      <c r="U22" s="1"/>
      <c r="V22" s="1"/>
      <c r="W22" s="1"/>
      <c r="X22" s="1"/>
      <c r="Y22" s="1"/>
      <c r="Z22" s="1"/>
    </row>
    <row r="23" ht="15.0" customHeight="1">
      <c r="A23" s="118"/>
      <c r="B23" s="243" t="s">
        <v>634</v>
      </c>
      <c r="C23" s="244">
        <v>1.5</v>
      </c>
      <c r="D23" s="238"/>
      <c r="E23" s="110" t="s">
        <v>627</v>
      </c>
      <c r="F23" s="238"/>
      <c r="G23" s="238"/>
      <c r="H23" s="238"/>
      <c r="I23" s="239"/>
      <c r="J23" s="238"/>
      <c r="K23" s="238"/>
      <c r="L23" s="238"/>
      <c r="M23" s="238"/>
      <c r="N23" s="238"/>
      <c r="O23" s="238"/>
      <c r="P23" s="118"/>
      <c r="Q23" s="118"/>
      <c r="R23" s="118"/>
      <c r="S23" s="118"/>
      <c r="T23" s="1"/>
      <c r="U23" s="1"/>
      <c r="V23" s="1"/>
      <c r="W23" s="1"/>
      <c r="X23" s="1"/>
      <c r="Y23" s="1"/>
      <c r="Z23" s="1"/>
    </row>
    <row r="24" ht="15.0" customHeight="1">
      <c r="A24" s="118"/>
      <c r="B24" s="243" t="s">
        <v>635</v>
      </c>
      <c r="C24" s="244">
        <v>2.0</v>
      </c>
      <c r="D24" s="241"/>
      <c r="E24" s="246" t="s">
        <v>629</v>
      </c>
      <c r="F24" s="241"/>
      <c r="G24" s="249"/>
      <c r="H24" s="249"/>
      <c r="I24" s="249"/>
      <c r="J24" s="249"/>
      <c r="K24" s="249"/>
      <c r="L24" s="249"/>
      <c r="M24" s="249"/>
      <c r="N24" s="249"/>
      <c r="O24" s="250"/>
      <c r="P24" s="118"/>
      <c r="Q24" s="118"/>
      <c r="R24" s="118"/>
      <c r="S24" s="118"/>
      <c r="T24" s="1"/>
      <c r="U24" s="1"/>
      <c r="V24" s="1"/>
      <c r="W24" s="1"/>
      <c r="X24" s="1"/>
      <c r="Y24" s="1"/>
      <c r="Z24" s="1"/>
    </row>
    <row r="25" ht="15.0" customHeight="1">
      <c r="A25" s="1"/>
      <c r="B25" s="243" t="s">
        <v>636</v>
      </c>
      <c r="C25" s="244">
        <v>2.5</v>
      </c>
      <c r="D25" s="1"/>
      <c r="E25" s="110" t="s">
        <v>631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ht="15.0" customHeight="1">
      <c r="A26" s="118"/>
      <c r="B26" s="11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18"/>
      <c r="Q26" s="118"/>
      <c r="R26" s="118"/>
      <c r="S26" s="118"/>
      <c r="T26" s="1"/>
      <c r="U26" s="1"/>
      <c r="V26" s="1"/>
      <c r="W26" s="1"/>
      <c r="X26" s="1"/>
      <c r="Y26" s="1"/>
      <c r="Z26" s="1"/>
    </row>
    <row r="27" ht="15.0" customHeight="1">
      <c r="A27" s="118"/>
      <c r="B27" s="85" t="s">
        <v>637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118"/>
      <c r="Q27" s="118"/>
      <c r="R27" s="118"/>
      <c r="S27" s="118"/>
      <c r="T27" s="1"/>
      <c r="U27" s="1"/>
      <c r="V27" s="1"/>
      <c r="W27" s="1"/>
      <c r="X27" s="1"/>
      <c r="Y27" s="1"/>
      <c r="Z27" s="1"/>
    </row>
    <row r="28" ht="15.75" customHeight="1">
      <c r="A28" s="118"/>
      <c r="B28" s="230"/>
      <c r="C28" s="251" t="s">
        <v>468</v>
      </c>
      <c r="D28" s="251" t="s">
        <v>469</v>
      </c>
      <c r="E28" s="251" t="s">
        <v>470</v>
      </c>
      <c r="F28" s="251" t="s">
        <v>471</v>
      </c>
      <c r="G28" s="251" t="s">
        <v>98</v>
      </c>
      <c r="H28" s="251" t="s">
        <v>99</v>
      </c>
      <c r="I28" s="252" t="s">
        <v>100</v>
      </c>
      <c r="J28" s="251" t="s">
        <v>101</v>
      </c>
      <c r="K28" s="251" t="s">
        <v>102</v>
      </c>
      <c r="L28" s="251" t="s">
        <v>103</v>
      </c>
      <c r="M28" s="251" t="s">
        <v>104</v>
      </c>
      <c r="N28" s="251" t="s">
        <v>105</v>
      </c>
      <c r="O28" s="253" t="s">
        <v>638</v>
      </c>
      <c r="P28" s="118"/>
      <c r="Q28" s="118"/>
      <c r="R28" s="118"/>
      <c r="S28" s="118"/>
      <c r="T28" s="1"/>
      <c r="U28" s="1"/>
      <c r="V28" s="1"/>
      <c r="W28" s="1"/>
      <c r="X28" s="1"/>
      <c r="Y28" s="1"/>
      <c r="Z28" s="1"/>
    </row>
    <row r="29" ht="15.75" customHeight="1">
      <c r="A29" s="118"/>
      <c r="B29" s="79" t="s">
        <v>639</v>
      </c>
      <c r="C29" s="254">
        <v>0.0</v>
      </c>
      <c r="D29" s="254">
        <v>0.0</v>
      </c>
      <c r="E29" s="254">
        <v>0.0</v>
      </c>
      <c r="F29" s="254">
        <v>0.0</v>
      </c>
      <c r="G29" s="254">
        <v>10.0</v>
      </c>
      <c r="H29" s="254">
        <v>14.0</v>
      </c>
      <c r="I29" s="254">
        <v>18.0</v>
      </c>
      <c r="J29" s="254">
        <v>22.0</v>
      </c>
      <c r="K29" s="254">
        <v>26.0</v>
      </c>
      <c r="L29" s="254">
        <v>30.0</v>
      </c>
      <c r="M29" s="254">
        <v>32.0</v>
      </c>
      <c r="N29" s="254">
        <v>32.0</v>
      </c>
      <c r="O29" s="255">
        <f t="shared" ref="O29:O36" si="1">IFERROR(AVERAGEIF(C28:N28,"&gt;0"),0)</f>
        <v>0</v>
      </c>
      <c r="P29" s="118"/>
      <c r="Q29" s="118"/>
      <c r="R29" s="118"/>
      <c r="S29" s="118"/>
      <c r="T29" s="1"/>
      <c r="U29" s="1"/>
      <c r="V29" s="1"/>
      <c r="W29" s="1"/>
      <c r="X29" s="1"/>
      <c r="Y29" s="1"/>
      <c r="Z29" s="1"/>
    </row>
    <row r="30" ht="15.0" customHeight="1">
      <c r="A30" s="118"/>
      <c r="B30" s="256" t="s">
        <v>640</v>
      </c>
      <c r="C30" s="257">
        <v>0.0</v>
      </c>
      <c r="D30" s="257">
        <v>0.0</v>
      </c>
      <c r="E30" s="257">
        <v>0.0</v>
      </c>
      <c r="F30" s="257">
        <v>0.0</v>
      </c>
      <c r="G30" s="257">
        <v>8.0</v>
      </c>
      <c r="H30" s="257">
        <v>11.0</v>
      </c>
      <c r="I30" s="257">
        <v>14.0</v>
      </c>
      <c r="J30" s="257">
        <v>17.0</v>
      </c>
      <c r="K30" s="257">
        <v>20.0</v>
      </c>
      <c r="L30" s="257">
        <v>23.0</v>
      </c>
      <c r="M30" s="257">
        <v>25.0</v>
      </c>
      <c r="N30" s="257">
        <v>25.0</v>
      </c>
      <c r="O30" s="255">
        <f t="shared" si="1"/>
        <v>23</v>
      </c>
      <c r="P30" s="118"/>
      <c r="Q30" s="118"/>
      <c r="R30" s="118"/>
      <c r="S30" s="118"/>
      <c r="T30" s="1"/>
      <c r="U30" s="1"/>
      <c r="V30" s="1"/>
      <c r="W30" s="1"/>
      <c r="X30" s="1"/>
      <c r="Y30" s="1"/>
      <c r="Z30" s="1"/>
    </row>
    <row r="31" ht="15.0" customHeight="1">
      <c r="A31" s="118"/>
      <c r="B31" s="258" t="s">
        <v>641</v>
      </c>
      <c r="C31" s="259">
        <v>0.0</v>
      </c>
      <c r="D31" s="259">
        <v>0.0</v>
      </c>
      <c r="E31" s="259">
        <v>0.0</v>
      </c>
      <c r="F31" s="259">
        <v>0.0</v>
      </c>
      <c r="G31" s="259">
        <v>6.0</v>
      </c>
      <c r="H31" s="259">
        <v>8.0</v>
      </c>
      <c r="I31" s="259">
        <v>10.0</v>
      </c>
      <c r="J31" s="259">
        <v>12.0</v>
      </c>
      <c r="K31" s="259">
        <v>14.0</v>
      </c>
      <c r="L31" s="259">
        <v>16.0</v>
      </c>
      <c r="M31" s="259">
        <v>18.0</v>
      </c>
      <c r="N31" s="259">
        <v>18.0</v>
      </c>
      <c r="O31" s="255">
        <f t="shared" si="1"/>
        <v>17.875</v>
      </c>
      <c r="P31" s="118"/>
      <c r="Q31" s="118"/>
      <c r="R31" s="118"/>
      <c r="S31" s="118"/>
      <c r="T31" s="1"/>
      <c r="U31" s="1"/>
      <c r="V31" s="1"/>
      <c r="W31" s="1"/>
      <c r="X31" s="1"/>
      <c r="Y31" s="1"/>
      <c r="Z31" s="1"/>
    </row>
    <row r="32" ht="14.25" customHeight="1">
      <c r="A32" s="118"/>
      <c r="B32" s="260" t="s">
        <v>642</v>
      </c>
      <c r="C32" s="261">
        <v>0.0</v>
      </c>
      <c r="D32" s="261">
        <v>0.0</v>
      </c>
      <c r="E32" s="261">
        <v>0.0</v>
      </c>
      <c r="F32" s="261">
        <v>0.0</v>
      </c>
      <c r="G32" s="262">
        <v>8.0</v>
      </c>
      <c r="H32" s="262">
        <v>11.0</v>
      </c>
      <c r="I32" s="262">
        <v>14.0</v>
      </c>
      <c r="J32" s="262">
        <v>17.0</v>
      </c>
      <c r="K32" s="262">
        <v>20.0</v>
      </c>
      <c r="L32" s="262">
        <v>23.0</v>
      </c>
      <c r="M32" s="262">
        <v>25.0</v>
      </c>
      <c r="N32" s="263">
        <v>25.0</v>
      </c>
      <c r="O32" s="264">
        <f t="shared" si="1"/>
        <v>12.75</v>
      </c>
      <c r="P32" s="118"/>
      <c r="Q32" s="118"/>
      <c r="R32" s="118"/>
      <c r="S32" s="118"/>
      <c r="T32" s="1"/>
      <c r="U32" s="1"/>
      <c r="V32" s="1"/>
      <c r="W32" s="1"/>
      <c r="X32" s="1"/>
      <c r="Y32" s="1"/>
      <c r="Z32" s="1"/>
    </row>
    <row r="33" ht="15.0" customHeight="1">
      <c r="A33" s="118"/>
      <c r="B33" s="265" t="s">
        <v>643</v>
      </c>
      <c r="C33" s="266">
        <v>0.0</v>
      </c>
      <c r="D33" s="266">
        <v>0.0</v>
      </c>
      <c r="E33" s="266">
        <v>0.0</v>
      </c>
      <c r="F33" s="266">
        <v>0.0</v>
      </c>
      <c r="G33" s="266">
        <v>6.0</v>
      </c>
      <c r="H33" s="266">
        <v>9.0</v>
      </c>
      <c r="I33" s="266">
        <v>13.0</v>
      </c>
      <c r="J33" s="266">
        <v>16.0</v>
      </c>
      <c r="K33" s="266">
        <v>20.0</v>
      </c>
      <c r="L33" s="266">
        <v>22.0</v>
      </c>
      <c r="M33" s="266">
        <v>26.0</v>
      </c>
      <c r="N33" s="266">
        <v>26.0</v>
      </c>
      <c r="O33" s="267">
        <f t="shared" si="1"/>
        <v>17.875</v>
      </c>
      <c r="P33" s="118"/>
      <c r="Q33" s="118"/>
      <c r="R33" s="118"/>
      <c r="S33" s="118"/>
      <c r="T33" s="1"/>
      <c r="U33" s="1"/>
      <c r="V33" s="1"/>
      <c r="W33" s="1"/>
      <c r="X33" s="1"/>
      <c r="Y33" s="1"/>
      <c r="Z33" s="1"/>
    </row>
    <row r="34" ht="15.0" customHeight="1">
      <c r="A34" s="118"/>
      <c r="B34" s="256" t="s">
        <v>644</v>
      </c>
      <c r="C34" s="257">
        <v>0.0</v>
      </c>
      <c r="D34" s="257">
        <v>0.0</v>
      </c>
      <c r="E34" s="257">
        <v>0.0</v>
      </c>
      <c r="F34" s="257">
        <v>0.0</v>
      </c>
      <c r="G34" s="257">
        <v>5.0</v>
      </c>
      <c r="H34" s="257">
        <v>7.0</v>
      </c>
      <c r="I34" s="257">
        <v>10.0</v>
      </c>
      <c r="J34" s="257">
        <v>12.0</v>
      </c>
      <c r="K34" s="257">
        <v>15.0</v>
      </c>
      <c r="L34" s="257">
        <v>17.0</v>
      </c>
      <c r="M34" s="257">
        <v>20.0</v>
      </c>
      <c r="N34" s="257">
        <v>20.0</v>
      </c>
      <c r="O34" s="267">
        <f t="shared" si="1"/>
        <v>17.25</v>
      </c>
      <c r="P34" s="118"/>
      <c r="Q34" s="118"/>
      <c r="R34" s="118"/>
      <c r="S34" s="118"/>
      <c r="T34" s="1"/>
      <c r="U34" s="1"/>
      <c r="V34" s="1"/>
      <c r="W34" s="1"/>
      <c r="X34" s="1"/>
      <c r="Y34" s="1"/>
      <c r="Z34" s="1"/>
    </row>
    <row r="35" ht="15.0" customHeight="1">
      <c r="A35" s="118"/>
      <c r="B35" s="258" t="s">
        <v>645</v>
      </c>
      <c r="C35" s="259">
        <v>0.0</v>
      </c>
      <c r="D35" s="259">
        <v>0.0</v>
      </c>
      <c r="E35" s="259">
        <v>0.0</v>
      </c>
      <c r="F35" s="259">
        <v>0.0</v>
      </c>
      <c r="G35" s="259">
        <v>4.0</v>
      </c>
      <c r="H35" s="259">
        <v>5.0</v>
      </c>
      <c r="I35" s="259">
        <v>7.0</v>
      </c>
      <c r="J35" s="259">
        <v>8.0</v>
      </c>
      <c r="K35" s="259">
        <v>10.0</v>
      </c>
      <c r="L35" s="259">
        <v>12.0</v>
      </c>
      <c r="M35" s="259">
        <v>14.0</v>
      </c>
      <c r="N35" s="259">
        <v>14.0</v>
      </c>
      <c r="O35" s="267">
        <f t="shared" si="1"/>
        <v>13.25</v>
      </c>
      <c r="P35" s="118"/>
      <c r="Q35" s="118"/>
      <c r="R35" s="118"/>
      <c r="S35" s="118"/>
      <c r="T35" s="1"/>
      <c r="U35" s="1"/>
      <c r="V35" s="1"/>
      <c r="W35" s="1"/>
      <c r="X35" s="1"/>
      <c r="Y35" s="1"/>
      <c r="Z35" s="1"/>
    </row>
    <row r="36" ht="15.0" customHeight="1">
      <c r="A36" s="118"/>
      <c r="B36" s="268" t="s">
        <v>646</v>
      </c>
      <c r="C36" s="269">
        <v>0.0</v>
      </c>
      <c r="D36" s="269">
        <v>0.0</v>
      </c>
      <c r="E36" s="269">
        <v>0.0</v>
      </c>
      <c r="F36" s="269">
        <v>0.0</v>
      </c>
      <c r="G36" s="269">
        <v>5.0</v>
      </c>
      <c r="H36" s="269">
        <v>7.0</v>
      </c>
      <c r="I36" s="269">
        <v>10.0</v>
      </c>
      <c r="J36" s="269">
        <v>12.0</v>
      </c>
      <c r="K36" s="269">
        <v>15.0</v>
      </c>
      <c r="L36" s="269">
        <v>17.0</v>
      </c>
      <c r="M36" s="269">
        <v>20.0</v>
      </c>
      <c r="N36" s="270">
        <v>20.0</v>
      </c>
      <c r="O36" s="271">
        <f t="shared" si="1"/>
        <v>9.25</v>
      </c>
      <c r="P36" s="118"/>
      <c r="Q36" s="118"/>
      <c r="R36" s="118"/>
      <c r="S36" s="118"/>
      <c r="T36" s="1"/>
      <c r="U36" s="1"/>
      <c r="V36" s="1"/>
      <c r="W36" s="1"/>
      <c r="X36" s="1"/>
      <c r="Y36" s="1"/>
      <c r="Z36" s="1"/>
    </row>
    <row r="37" ht="15.75" customHeight="1">
      <c r="A37" s="118"/>
      <c r="B37" s="272" t="s">
        <v>647</v>
      </c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18"/>
      <c r="Q37" s="118"/>
      <c r="R37" s="118"/>
      <c r="S37" s="118"/>
      <c r="T37" s="1"/>
      <c r="U37" s="1"/>
      <c r="V37" s="1"/>
      <c r="W37" s="1"/>
      <c r="X37" s="1"/>
      <c r="Y37" s="1"/>
      <c r="Z37" s="1"/>
    </row>
    <row r="38" ht="15.75" customHeight="1">
      <c r="A38" s="118"/>
      <c r="B38" s="273" t="s">
        <v>648</v>
      </c>
      <c r="C38" s="274">
        <f t="shared" ref="C38:N38" si="2">ROUND(C32*C98,0)</f>
        <v>0</v>
      </c>
      <c r="D38" s="274">
        <f t="shared" si="2"/>
        <v>0</v>
      </c>
      <c r="E38" s="274">
        <f t="shared" si="2"/>
        <v>0</v>
      </c>
      <c r="F38" s="274">
        <f t="shared" si="2"/>
        <v>0</v>
      </c>
      <c r="G38" s="274">
        <f t="shared" si="2"/>
        <v>10</v>
      </c>
      <c r="H38" s="274">
        <f t="shared" si="2"/>
        <v>13</v>
      </c>
      <c r="I38" s="274">
        <f t="shared" si="2"/>
        <v>16</v>
      </c>
      <c r="J38" s="274">
        <f t="shared" si="2"/>
        <v>26</v>
      </c>
      <c r="K38" s="274">
        <f t="shared" si="2"/>
        <v>17</v>
      </c>
      <c r="L38" s="274">
        <f t="shared" si="2"/>
        <v>14</v>
      </c>
      <c r="M38" s="274">
        <f t="shared" si="2"/>
        <v>14</v>
      </c>
      <c r="N38" s="274">
        <f t="shared" si="2"/>
        <v>25</v>
      </c>
      <c r="O38" s="275">
        <f t="shared" ref="O38:O39" si="4">IFERROR(AVERAGEIF(C38:N38,"&gt;0"),0)</f>
        <v>16.875</v>
      </c>
      <c r="P38" s="118"/>
      <c r="Q38" s="118"/>
      <c r="R38" s="118"/>
      <c r="S38" s="118"/>
      <c r="T38" s="1"/>
      <c r="U38" s="1"/>
      <c r="V38" s="1"/>
      <c r="W38" s="1"/>
      <c r="X38" s="1"/>
      <c r="Y38" s="1"/>
      <c r="Z38" s="1"/>
    </row>
    <row r="39" ht="15.75" customHeight="1">
      <c r="A39" s="118"/>
      <c r="B39" s="276" t="s">
        <v>649</v>
      </c>
      <c r="C39" s="277">
        <f t="shared" ref="C39:N39" si="3">ROUND(C36*C99,0)</f>
        <v>0</v>
      </c>
      <c r="D39" s="277">
        <f t="shared" si="3"/>
        <v>0</v>
      </c>
      <c r="E39" s="277">
        <f t="shared" si="3"/>
        <v>0</v>
      </c>
      <c r="F39" s="277">
        <f t="shared" si="3"/>
        <v>0</v>
      </c>
      <c r="G39" s="277">
        <f t="shared" si="3"/>
        <v>7</v>
      </c>
      <c r="H39" s="277">
        <f t="shared" si="3"/>
        <v>7</v>
      </c>
      <c r="I39" s="277">
        <f t="shared" si="3"/>
        <v>12</v>
      </c>
      <c r="J39" s="277">
        <f t="shared" si="3"/>
        <v>16</v>
      </c>
      <c r="K39" s="277">
        <f t="shared" si="3"/>
        <v>23</v>
      </c>
      <c r="L39" s="277">
        <f t="shared" si="3"/>
        <v>13</v>
      </c>
      <c r="M39" s="277">
        <f t="shared" si="3"/>
        <v>14</v>
      </c>
      <c r="N39" s="277">
        <f t="shared" si="3"/>
        <v>24</v>
      </c>
      <c r="O39" s="275">
        <f t="shared" si="4"/>
        <v>14.5</v>
      </c>
      <c r="P39" s="118"/>
      <c r="Q39" s="118"/>
      <c r="R39" s="118"/>
      <c r="S39" s="118"/>
      <c r="T39" s="1"/>
      <c r="U39" s="1"/>
      <c r="V39" s="1"/>
      <c r="W39" s="1"/>
      <c r="X39" s="1"/>
      <c r="Y39" s="1"/>
      <c r="Z39" s="1"/>
    </row>
    <row r="40" ht="15.75" customHeight="1">
      <c r="A40" s="118"/>
      <c r="B40" s="236" t="s">
        <v>650</v>
      </c>
      <c r="C40" s="1">
        <f>(C38+C39)*'4月'!H26</f>
        <v>0</v>
      </c>
      <c r="D40" s="1">
        <f>(D38+D39)*'5月'!H26</f>
        <v>0</v>
      </c>
      <c r="E40" s="1">
        <f>(E38+E39)*'6月'!H26</f>
        <v>0</v>
      </c>
      <c r="F40" s="1">
        <f>(F38+F39)*'7月'!H26</f>
        <v>0</v>
      </c>
      <c r="G40" s="1">
        <f>(G38+G39)*'8月'!H26</f>
        <v>527</v>
      </c>
      <c r="H40" s="1">
        <f>(H38+H39)*'9月'!H26</f>
        <v>600</v>
      </c>
      <c r="I40" s="1">
        <f>(I38+I39)*'10月'!H26</f>
        <v>868</v>
      </c>
      <c r="J40" s="1">
        <f>(J38+J39)*'11月'!H26</f>
        <v>1260</v>
      </c>
      <c r="K40" s="1">
        <f>(K38+K39)*'12月'!H26</f>
        <v>1240</v>
      </c>
      <c r="L40" s="1">
        <f>(L38+L39)*'1月'!H26</f>
        <v>837</v>
      </c>
      <c r="M40" s="1">
        <f>(M38+M39)*'2月'!H26</f>
        <v>784</v>
      </c>
      <c r="N40" s="1">
        <f>(N38+N39)*'3月'!H26</f>
        <v>1519</v>
      </c>
      <c r="O40" s="1">
        <f>SUM(C40:N40)</f>
        <v>7635</v>
      </c>
      <c r="P40" s="118"/>
      <c r="Q40" s="118"/>
      <c r="R40" s="118"/>
      <c r="S40" s="118"/>
      <c r="T40" s="1"/>
      <c r="U40" s="1"/>
      <c r="V40" s="1"/>
      <c r="W40" s="1"/>
      <c r="X40" s="1"/>
      <c r="Y40" s="1"/>
      <c r="Z40" s="1"/>
    </row>
    <row r="41" ht="15.0" customHeight="1">
      <c r="A41" s="118"/>
      <c r="B41" s="54" t="s">
        <v>651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118"/>
      <c r="Q41" s="118"/>
      <c r="R41" s="118"/>
      <c r="S41" s="118"/>
      <c r="T41" s="1"/>
      <c r="U41" s="1"/>
      <c r="V41" s="1"/>
      <c r="W41" s="1"/>
      <c r="X41" s="1"/>
      <c r="Y41" s="1"/>
      <c r="Z41" s="1"/>
    </row>
    <row r="42" ht="15.0" customHeight="1">
      <c r="A42" s="118"/>
      <c r="B42" s="230"/>
      <c r="C42" s="278" t="s">
        <v>468</v>
      </c>
      <c r="D42" s="278" t="s">
        <v>469</v>
      </c>
      <c r="E42" s="278" t="s">
        <v>470</v>
      </c>
      <c r="F42" s="278" t="s">
        <v>471</v>
      </c>
      <c r="G42" s="278" t="s">
        <v>98</v>
      </c>
      <c r="H42" s="278" t="s">
        <v>99</v>
      </c>
      <c r="I42" s="279" t="s">
        <v>100</v>
      </c>
      <c r="J42" s="278" t="s">
        <v>101</v>
      </c>
      <c r="K42" s="278" t="s">
        <v>102</v>
      </c>
      <c r="L42" s="278" t="s">
        <v>103</v>
      </c>
      <c r="M42" s="278" t="s">
        <v>104</v>
      </c>
      <c r="N42" s="278" t="s">
        <v>105</v>
      </c>
      <c r="O42" s="280" t="s">
        <v>106</v>
      </c>
      <c r="P42" s="118"/>
      <c r="Q42" s="118"/>
      <c r="R42" s="118"/>
      <c r="S42" s="118"/>
      <c r="T42" s="1"/>
      <c r="U42" s="1"/>
      <c r="V42" s="1"/>
      <c r="W42" s="1"/>
      <c r="X42" s="1"/>
      <c r="Y42" s="1"/>
      <c r="Z42" s="1"/>
    </row>
    <row r="43" ht="15.0" customHeight="1">
      <c r="A43" s="118"/>
      <c r="B43" s="79" t="s">
        <v>652</v>
      </c>
      <c r="C43" s="281">
        <f>C38*$C$5*'4月'!H26</f>
        <v>0</v>
      </c>
      <c r="D43" s="281">
        <f>D38*$C$5*'5月'!H26</f>
        <v>0</v>
      </c>
      <c r="E43" s="281">
        <f>E38*$C$5*'6月'!H26</f>
        <v>0</v>
      </c>
      <c r="F43" s="281">
        <f>F38*$C$5*'7月'!H26</f>
        <v>0</v>
      </c>
      <c r="G43" s="281">
        <f>G38*$C$5*'8月'!H26</f>
        <v>263500</v>
      </c>
      <c r="H43" s="281">
        <f>H38*$C$5*'9月'!H26</f>
        <v>331500</v>
      </c>
      <c r="I43" s="281">
        <f>I38*$C$5*'10月'!H26</f>
        <v>421600</v>
      </c>
      <c r="J43" s="281">
        <f>J38*$C$5*'11月'!H26</f>
        <v>663000</v>
      </c>
      <c r="K43" s="281">
        <f>K38*$C$5*'12月'!H26</f>
        <v>447950</v>
      </c>
      <c r="L43" s="281">
        <f>L38*$C$5*'1月'!H26</f>
        <v>368900</v>
      </c>
      <c r="M43" s="281">
        <f>M38*$C$5*'2月'!H26</f>
        <v>333200</v>
      </c>
      <c r="N43" s="281">
        <f>N38*$C$5*'3月'!H26</f>
        <v>658750</v>
      </c>
      <c r="O43" s="212">
        <f t="shared" ref="O43:O47" si="5">SUM(C43:N43)</f>
        <v>3488400</v>
      </c>
      <c r="P43" s="118"/>
      <c r="Q43" s="118"/>
      <c r="R43" s="118"/>
      <c r="S43" s="118"/>
      <c r="T43" s="1"/>
      <c r="U43" s="1"/>
      <c r="V43" s="1"/>
      <c r="W43" s="1"/>
      <c r="X43" s="1"/>
      <c r="Y43" s="1"/>
      <c r="Z43" s="1"/>
    </row>
    <row r="44" ht="15.75" customHeight="1">
      <c r="A44" s="118"/>
      <c r="B44" s="79" t="s">
        <v>653</v>
      </c>
      <c r="C44" s="281">
        <f>C39*$C$6*'4月'!H26</f>
        <v>0</v>
      </c>
      <c r="D44" s="281">
        <f>D39*$C$6*'5月'!H26</f>
        <v>0</v>
      </c>
      <c r="E44" s="281">
        <f>E39*$C$6*'6月'!H26</f>
        <v>0</v>
      </c>
      <c r="F44" s="281">
        <f>F39*$C$6*'7月'!H26</f>
        <v>0</v>
      </c>
      <c r="G44" s="281">
        <f>G39*$C$6*'8月'!H26</f>
        <v>390600</v>
      </c>
      <c r="H44" s="281">
        <f>H39*$C$6*'9月'!H26</f>
        <v>378000</v>
      </c>
      <c r="I44" s="281">
        <f>I39*$C$6*'10月'!H26</f>
        <v>669600</v>
      </c>
      <c r="J44" s="281">
        <f>J39*$C$6*'11月'!H26</f>
        <v>864000</v>
      </c>
      <c r="K44" s="281">
        <f>K39*$C$6*'12月'!H26</f>
        <v>1283400</v>
      </c>
      <c r="L44" s="281">
        <f>L39*$C$6*'1月'!H26</f>
        <v>725400</v>
      </c>
      <c r="M44" s="281">
        <f>M39*$C$6*'2月'!H26</f>
        <v>705600</v>
      </c>
      <c r="N44" s="281">
        <f>N39*$C$6*'3月'!H26</f>
        <v>1339200</v>
      </c>
      <c r="O44" s="212">
        <f t="shared" si="5"/>
        <v>6355800</v>
      </c>
      <c r="P44" s="118"/>
      <c r="Q44" s="118"/>
      <c r="R44" s="118"/>
      <c r="S44" s="118"/>
      <c r="T44" s="1"/>
      <c r="U44" s="1"/>
      <c r="V44" s="1"/>
      <c r="W44" s="1"/>
      <c r="X44" s="1"/>
      <c r="Y44" s="1"/>
      <c r="Z44" s="1"/>
    </row>
    <row r="45" ht="15.75" customHeight="1">
      <c r="A45" s="118"/>
      <c r="B45" s="209" t="s">
        <v>654</v>
      </c>
      <c r="C45" s="282">
        <f t="shared" ref="C45:N45" si="6">C43+C44</f>
        <v>0</v>
      </c>
      <c r="D45" s="282">
        <f t="shared" si="6"/>
        <v>0</v>
      </c>
      <c r="E45" s="282">
        <f t="shared" si="6"/>
        <v>0</v>
      </c>
      <c r="F45" s="282">
        <f t="shared" si="6"/>
        <v>0</v>
      </c>
      <c r="G45" s="282">
        <f t="shared" si="6"/>
        <v>654100</v>
      </c>
      <c r="H45" s="282">
        <f t="shared" si="6"/>
        <v>709500</v>
      </c>
      <c r="I45" s="282">
        <f t="shared" si="6"/>
        <v>1091200</v>
      </c>
      <c r="J45" s="282">
        <f t="shared" si="6"/>
        <v>1527000</v>
      </c>
      <c r="K45" s="282">
        <f t="shared" si="6"/>
        <v>1731350</v>
      </c>
      <c r="L45" s="282">
        <f t="shared" si="6"/>
        <v>1094300</v>
      </c>
      <c r="M45" s="282">
        <f t="shared" si="6"/>
        <v>1038800</v>
      </c>
      <c r="N45" s="282">
        <f t="shared" si="6"/>
        <v>1997950</v>
      </c>
      <c r="O45" s="212">
        <f t="shared" si="5"/>
        <v>9844200</v>
      </c>
      <c r="P45" s="118"/>
      <c r="Q45" s="118"/>
      <c r="R45" s="118"/>
      <c r="S45" s="118"/>
      <c r="T45" s="1"/>
      <c r="U45" s="1"/>
      <c r="V45" s="1"/>
      <c r="W45" s="1"/>
      <c r="X45" s="1"/>
      <c r="Y45" s="1"/>
      <c r="Z45" s="1"/>
    </row>
    <row r="46" ht="15.0" customHeight="1">
      <c r="A46" s="118"/>
      <c r="B46" s="58" t="s">
        <v>655</v>
      </c>
      <c r="C46" s="104">
        <f t="shared" ref="C46:N46" si="7">C45*$C$9</f>
        <v>0</v>
      </c>
      <c r="D46" s="104">
        <f t="shared" si="7"/>
        <v>0</v>
      </c>
      <c r="E46" s="104">
        <f t="shared" si="7"/>
        <v>0</v>
      </c>
      <c r="F46" s="104">
        <f t="shared" si="7"/>
        <v>0</v>
      </c>
      <c r="G46" s="104">
        <f t="shared" si="7"/>
        <v>196230</v>
      </c>
      <c r="H46" s="104">
        <f t="shared" si="7"/>
        <v>212850</v>
      </c>
      <c r="I46" s="104">
        <f t="shared" si="7"/>
        <v>327360</v>
      </c>
      <c r="J46" s="104">
        <f t="shared" si="7"/>
        <v>458100</v>
      </c>
      <c r="K46" s="104">
        <f t="shared" si="7"/>
        <v>519405</v>
      </c>
      <c r="L46" s="104">
        <f t="shared" si="7"/>
        <v>328290</v>
      </c>
      <c r="M46" s="104">
        <f t="shared" si="7"/>
        <v>311640</v>
      </c>
      <c r="N46" s="104">
        <f t="shared" si="7"/>
        <v>599385</v>
      </c>
      <c r="O46" s="212">
        <f t="shared" si="5"/>
        <v>2953260</v>
      </c>
      <c r="P46" s="118"/>
      <c r="Q46" s="118"/>
      <c r="R46" s="118"/>
      <c r="S46" s="118"/>
      <c r="T46" s="1"/>
      <c r="U46" s="1"/>
      <c r="V46" s="1"/>
      <c r="W46" s="1"/>
      <c r="X46" s="1"/>
      <c r="Y46" s="1"/>
      <c r="Z46" s="1"/>
    </row>
    <row r="47" ht="15.0" customHeight="1">
      <c r="A47" s="118"/>
      <c r="B47" s="209" t="s">
        <v>185</v>
      </c>
      <c r="C47" s="282">
        <f t="shared" ref="C47:N47" si="8">C45-C46</f>
        <v>0</v>
      </c>
      <c r="D47" s="282">
        <f t="shared" si="8"/>
        <v>0</v>
      </c>
      <c r="E47" s="282">
        <f t="shared" si="8"/>
        <v>0</v>
      </c>
      <c r="F47" s="282">
        <f t="shared" si="8"/>
        <v>0</v>
      </c>
      <c r="G47" s="282">
        <f t="shared" si="8"/>
        <v>457870</v>
      </c>
      <c r="H47" s="282">
        <f t="shared" si="8"/>
        <v>496650</v>
      </c>
      <c r="I47" s="282">
        <f t="shared" si="8"/>
        <v>763840</v>
      </c>
      <c r="J47" s="282">
        <f t="shared" si="8"/>
        <v>1068900</v>
      </c>
      <c r="K47" s="282">
        <f t="shared" si="8"/>
        <v>1211945</v>
      </c>
      <c r="L47" s="282">
        <f t="shared" si="8"/>
        <v>766010</v>
      </c>
      <c r="M47" s="282">
        <f t="shared" si="8"/>
        <v>727160</v>
      </c>
      <c r="N47" s="282">
        <f t="shared" si="8"/>
        <v>1398565</v>
      </c>
      <c r="O47" s="212">
        <f t="shared" si="5"/>
        <v>6890940</v>
      </c>
      <c r="P47" s="118"/>
      <c r="Q47" s="118"/>
      <c r="R47" s="118"/>
      <c r="S47" s="118"/>
      <c r="T47" s="1"/>
      <c r="U47" s="1"/>
      <c r="V47" s="1"/>
      <c r="W47" s="1"/>
      <c r="X47" s="1"/>
      <c r="Y47" s="1"/>
      <c r="Z47" s="1"/>
    </row>
    <row r="48" ht="15.0" customHeight="1">
      <c r="A48" s="24"/>
      <c r="B48" s="283" t="s">
        <v>656</v>
      </c>
      <c r="C48" s="284"/>
      <c r="D48" s="285"/>
      <c r="E48" s="285"/>
      <c r="F48" s="285"/>
      <c r="G48" s="285"/>
      <c r="H48" s="285"/>
      <c r="I48" s="286"/>
      <c r="J48" s="285"/>
      <c r="K48" s="285"/>
      <c r="L48" s="285"/>
      <c r="M48" s="285"/>
      <c r="N48" s="285"/>
      <c r="O48" s="285"/>
      <c r="P48" s="24"/>
      <c r="Q48" s="118"/>
      <c r="R48" s="118"/>
      <c r="S48" s="118"/>
      <c r="T48" s="1"/>
      <c r="U48" s="1"/>
      <c r="V48" s="1"/>
      <c r="W48" s="1"/>
      <c r="X48" s="1"/>
      <c r="Y48" s="1"/>
      <c r="Z48" s="1"/>
    </row>
    <row r="49" ht="15.0" customHeight="1">
      <c r="A49" s="24"/>
      <c r="B49" s="287" t="s">
        <v>657</v>
      </c>
      <c r="C49" s="288">
        <v>0.0</v>
      </c>
      <c r="D49" s="288">
        <v>0.0</v>
      </c>
      <c r="E49" s="288">
        <v>0.0</v>
      </c>
      <c r="F49" s="288">
        <v>0.0</v>
      </c>
      <c r="G49" s="288">
        <v>1.5</v>
      </c>
      <c r="H49" s="288">
        <v>1.5</v>
      </c>
      <c r="I49" s="288">
        <v>1.5</v>
      </c>
      <c r="J49" s="288">
        <v>2.0</v>
      </c>
      <c r="K49" s="288">
        <v>2.0</v>
      </c>
      <c r="L49" s="288">
        <v>2.0</v>
      </c>
      <c r="M49" s="288">
        <v>2.0</v>
      </c>
      <c r="N49" s="288">
        <v>2.0</v>
      </c>
      <c r="O49" s="289">
        <f t="shared" ref="O49:O50" si="9">AVERAGE(C49:N49)</f>
        <v>1.208333333</v>
      </c>
      <c r="P49" s="24"/>
      <c r="Q49" s="118"/>
      <c r="R49" s="118"/>
      <c r="S49" s="118"/>
      <c r="T49" s="1"/>
      <c r="U49" s="1"/>
      <c r="V49" s="1"/>
      <c r="W49" s="1"/>
      <c r="X49" s="1"/>
      <c r="Y49" s="1"/>
      <c r="Z49" s="1"/>
    </row>
    <row r="50" ht="15.75" customHeight="1">
      <c r="A50" s="24"/>
      <c r="B50" s="287" t="s">
        <v>658</v>
      </c>
      <c r="C50" s="288">
        <v>0.0</v>
      </c>
      <c r="D50" s="288">
        <v>0.0</v>
      </c>
      <c r="E50" s="288">
        <v>0.0</v>
      </c>
      <c r="F50" s="288">
        <v>0.0</v>
      </c>
      <c r="G50" s="288">
        <v>1.5</v>
      </c>
      <c r="H50" s="288">
        <v>1.5</v>
      </c>
      <c r="I50" s="288">
        <v>1.5</v>
      </c>
      <c r="J50" s="288">
        <v>1.5</v>
      </c>
      <c r="K50" s="288">
        <v>1.5</v>
      </c>
      <c r="L50" s="288">
        <v>1.5</v>
      </c>
      <c r="M50" s="288">
        <v>1.5</v>
      </c>
      <c r="N50" s="288">
        <v>1.5</v>
      </c>
      <c r="O50" s="289">
        <f t="shared" si="9"/>
        <v>1</v>
      </c>
      <c r="P50" s="24"/>
      <c r="Q50" s="118"/>
      <c r="R50" s="118"/>
      <c r="S50" s="118"/>
      <c r="T50" s="1"/>
      <c r="U50" s="1"/>
      <c r="V50" s="1"/>
      <c r="W50" s="1"/>
      <c r="X50" s="1"/>
      <c r="Y50" s="1"/>
      <c r="Z50" s="1"/>
    </row>
    <row r="51" ht="15.75" customHeight="1">
      <c r="A51" s="24"/>
      <c r="B51" s="287" t="s">
        <v>659</v>
      </c>
      <c r="C51" s="290">
        <f>C49*$C$11*'4月'!H26</f>
        <v>0</v>
      </c>
      <c r="D51" s="290">
        <f>D49*$C$11*'5月'!H26</f>
        <v>0</v>
      </c>
      <c r="E51" s="290">
        <f>E49*$C$11*'6月'!H26</f>
        <v>0</v>
      </c>
      <c r="F51" s="290">
        <f>F49*$C$11*'7月'!H26</f>
        <v>0</v>
      </c>
      <c r="G51" s="290">
        <f>G49*$C$11*'8月'!H26</f>
        <v>418.5</v>
      </c>
      <c r="H51" s="290">
        <f>H49*$C$11*'9月'!H26</f>
        <v>405</v>
      </c>
      <c r="I51" s="290">
        <f>I49*$C$11*'10月'!H26</f>
        <v>418.5</v>
      </c>
      <c r="J51" s="290">
        <f>J49*$C$11*'11月'!H26</f>
        <v>540</v>
      </c>
      <c r="K51" s="290">
        <f>K49*$C$11*'12月'!H26</f>
        <v>558</v>
      </c>
      <c r="L51" s="290">
        <f>L49*$C$11*'1月'!H26</f>
        <v>558</v>
      </c>
      <c r="M51" s="290">
        <f>M49*$C$11*'2月'!H26</f>
        <v>504</v>
      </c>
      <c r="N51" s="290">
        <f>N49*$C$11*'3月'!H26</f>
        <v>558</v>
      </c>
      <c r="O51" s="290">
        <f t="shared" ref="O51:O52" si="10">SUM(C51:N51)</f>
        <v>3960</v>
      </c>
      <c r="P51" s="24"/>
      <c r="Q51" s="118"/>
      <c r="R51" s="118"/>
      <c r="S51" s="118"/>
      <c r="T51" s="1"/>
      <c r="U51" s="1"/>
      <c r="V51" s="1"/>
      <c r="W51" s="1"/>
      <c r="X51" s="1"/>
      <c r="Y51" s="1"/>
      <c r="Z51" s="1"/>
    </row>
    <row r="52" ht="15.75" customHeight="1">
      <c r="A52" s="24"/>
      <c r="B52" s="287" t="s">
        <v>660</v>
      </c>
      <c r="C52" s="290">
        <f>C50*$C$12*'4月'!H26</f>
        <v>0</v>
      </c>
      <c r="D52" s="290">
        <f>D50*$C$12*'5月'!H26</f>
        <v>0</v>
      </c>
      <c r="E52" s="290">
        <f>E50*$C$12*'6月'!H26</f>
        <v>0</v>
      </c>
      <c r="F52" s="290">
        <f>F50*$C$12*'7月'!H26</f>
        <v>0</v>
      </c>
      <c r="G52" s="290">
        <f>G50*$C$12*'8月'!H26</f>
        <v>279</v>
      </c>
      <c r="H52" s="290">
        <f>H50*$C$12*'9月'!H26</f>
        <v>270</v>
      </c>
      <c r="I52" s="290">
        <f>I50*$C$12*'10月'!H26</f>
        <v>279</v>
      </c>
      <c r="J52" s="290">
        <f>J50*$C$12*'11月'!H26</f>
        <v>270</v>
      </c>
      <c r="K52" s="290">
        <f>K50*$C$12*'12月'!H26</f>
        <v>279</v>
      </c>
      <c r="L52" s="290">
        <f>L50*$C$12*'1月'!H26</f>
        <v>279</v>
      </c>
      <c r="M52" s="290">
        <f>M50*$C$12*'2月'!H26</f>
        <v>252</v>
      </c>
      <c r="N52" s="290">
        <f>N50*$C$12*'3月'!H26</f>
        <v>279</v>
      </c>
      <c r="O52" s="290">
        <f t="shared" si="10"/>
        <v>2187</v>
      </c>
      <c r="P52" s="24"/>
      <c r="Q52" s="118"/>
      <c r="R52" s="118"/>
      <c r="S52" s="118"/>
      <c r="T52" s="1"/>
      <c r="U52" s="1"/>
      <c r="V52" s="1"/>
      <c r="W52" s="1"/>
      <c r="X52" s="1"/>
      <c r="Y52" s="1"/>
      <c r="Z52" s="1"/>
    </row>
    <row r="53" ht="15.75" customHeight="1">
      <c r="A53" s="24"/>
      <c r="B53" s="287" t="s">
        <v>661</v>
      </c>
      <c r="C53" s="291">
        <v>0.0</v>
      </c>
      <c r="D53" s="291">
        <v>0.0</v>
      </c>
      <c r="E53" s="291">
        <v>0.0</v>
      </c>
      <c r="F53" s="291">
        <v>0.0</v>
      </c>
      <c r="G53" s="291">
        <v>1.5</v>
      </c>
      <c r="H53" s="291">
        <v>1.5</v>
      </c>
      <c r="I53" s="291">
        <v>1.5</v>
      </c>
      <c r="J53" s="291">
        <v>1.5</v>
      </c>
      <c r="K53" s="291">
        <v>1.5</v>
      </c>
      <c r="L53" s="291">
        <v>1.5</v>
      </c>
      <c r="M53" s="291">
        <v>1.5</v>
      </c>
      <c r="N53" s="291">
        <v>1.5</v>
      </c>
      <c r="O53" s="292">
        <f>AVERAGE(C53:N53)</f>
        <v>1</v>
      </c>
      <c r="P53" s="24"/>
      <c r="Q53" s="118"/>
      <c r="R53" s="118"/>
      <c r="S53" s="118"/>
      <c r="T53" s="1"/>
      <c r="U53" s="1"/>
      <c r="V53" s="1"/>
      <c r="W53" s="1"/>
      <c r="X53" s="1"/>
      <c r="Y53" s="1"/>
      <c r="Z53" s="1"/>
    </row>
    <row r="54" ht="15.75" customHeight="1">
      <c r="A54" s="24"/>
      <c r="B54" s="287" t="s">
        <v>662</v>
      </c>
      <c r="C54" s="290">
        <f>C53*'4月'!H26</f>
        <v>0</v>
      </c>
      <c r="D54" s="290">
        <f>D53*'5月'!H26</f>
        <v>0</v>
      </c>
      <c r="E54" s="290">
        <f>E53*'6月'!H26</f>
        <v>0</v>
      </c>
      <c r="F54" s="290">
        <f>F53*'7月'!H26</f>
        <v>0</v>
      </c>
      <c r="G54" s="290">
        <f>G53*'8月'!H26</f>
        <v>46.5</v>
      </c>
      <c r="H54" s="290">
        <f>H53*'9月'!H26</f>
        <v>45</v>
      </c>
      <c r="I54" s="290">
        <f>I53*'10月'!H26</f>
        <v>46.5</v>
      </c>
      <c r="J54" s="290">
        <f>J53*'11月'!H26</f>
        <v>45</v>
      </c>
      <c r="K54" s="290">
        <f>K53*'12月'!H26</f>
        <v>46.5</v>
      </c>
      <c r="L54" s="290">
        <f>L53*'1月'!H26</f>
        <v>46.5</v>
      </c>
      <c r="M54" s="290">
        <f>M53*'2月'!H26</f>
        <v>42</v>
      </c>
      <c r="N54" s="290">
        <f>N53*'3月'!H26</f>
        <v>46.5</v>
      </c>
      <c r="O54" s="290">
        <f t="shared" ref="O54:O60" si="11">SUM(C54:N54)</f>
        <v>364.5</v>
      </c>
      <c r="P54" s="24"/>
      <c r="Q54" s="118"/>
      <c r="R54" s="118"/>
      <c r="S54" s="118"/>
      <c r="T54" s="1"/>
      <c r="U54" s="1"/>
      <c r="V54" s="1"/>
      <c r="W54" s="1"/>
      <c r="X54" s="1"/>
      <c r="Y54" s="1"/>
      <c r="Z54" s="1"/>
    </row>
    <row r="55" ht="15.75" customHeight="1">
      <c r="A55" s="24"/>
      <c r="B55" s="287" t="s">
        <v>663</v>
      </c>
      <c r="C55" s="293">
        <v>0.0</v>
      </c>
      <c r="D55" s="293">
        <v>0.0</v>
      </c>
      <c r="E55" s="293">
        <v>0.0</v>
      </c>
      <c r="F55" s="293">
        <v>0.0</v>
      </c>
      <c r="G55" s="293">
        <v>100.0</v>
      </c>
      <c r="H55" s="293">
        <v>150.0</v>
      </c>
      <c r="I55" s="293">
        <v>200.0</v>
      </c>
      <c r="J55" s="293">
        <v>250.0</v>
      </c>
      <c r="K55" s="293">
        <v>300.0</v>
      </c>
      <c r="L55" s="293">
        <v>300.0</v>
      </c>
      <c r="M55" s="293">
        <v>300.0</v>
      </c>
      <c r="N55" s="293">
        <v>300.0</v>
      </c>
      <c r="O55" s="294">
        <f t="shared" si="11"/>
        <v>1900</v>
      </c>
      <c r="P55" s="24"/>
      <c r="Q55" s="118"/>
      <c r="R55" s="118"/>
      <c r="S55" s="118"/>
      <c r="T55" s="1"/>
      <c r="U55" s="1"/>
      <c r="V55" s="1"/>
      <c r="W55" s="1"/>
      <c r="X55" s="1"/>
      <c r="Y55" s="1"/>
      <c r="Z55" s="1"/>
    </row>
    <row r="56" ht="15.75" customHeight="1">
      <c r="A56" s="24"/>
      <c r="B56" s="295" t="s">
        <v>664</v>
      </c>
      <c r="C56" s="296">
        <f t="shared" ref="C56:N56" si="12">C55*$C$10</f>
        <v>0</v>
      </c>
      <c r="D56" s="296">
        <f t="shared" si="12"/>
        <v>0</v>
      </c>
      <c r="E56" s="296">
        <f t="shared" si="12"/>
        <v>0</v>
      </c>
      <c r="F56" s="296">
        <f t="shared" si="12"/>
        <v>0</v>
      </c>
      <c r="G56" s="296">
        <f t="shared" si="12"/>
        <v>120000</v>
      </c>
      <c r="H56" s="296">
        <f t="shared" si="12"/>
        <v>180000</v>
      </c>
      <c r="I56" s="296">
        <f t="shared" si="12"/>
        <v>240000</v>
      </c>
      <c r="J56" s="296">
        <f t="shared" si="12"/>
        <v>300000</v>
      </c>
      <c r="K56" s="297">
        <f t="shared" si="12"/>
        <v>360000</v>
      </c>
      <c r="L56" s="296">
        <f t="shared" si="12"/>
        <v>360000</v>
      </c>
      <c r="M56" s="296">
        <f t="shared" si="12"/>
        <v>360000</v>
      </c>
      <c r="N56" s="296">
        <f t="shared" si="12"/>
        <v>360000</v>
      </c>
      <c r="O56" s="298">
        <f t="shared" si="11"/>
        <v>2280000</v>
      </c>
      <c r="P56" s="24"/>
      <c r="Q56" s="1"/>
      <c r="R56" s="1"/>
      <c r="S56" s="1"/>
    </row>
    <row r="57" ht="15.75" customHeight="1">
      <c r="A57" s="24"/>
      <c r="B57" s="299" t="s">
        <v>665</v>
      </c>
      <c r="C57" s="300">
        <f t="shared" ref="C57:N57" si="13">MAX(0,C51+C52+C54-C55)</f>
        <v>0</v>
      </c>
      <c r="D57" s="300">
        <f t="shared" si="13"/>
        <v>0</v>
      </c>
      <c r="E57" s="300">
        <f t="shared" si="13"/>
        <v>0</v>
      </c>
      <c r="F57" s="300">
        <f t="shared" si="13"/>
        <v>0</v>
      </c>
      <c r="G57" s="300">
        <f t="shared" si="13"/>
        <v>644</v>
      </c>
      <c r="H57" s="300">
        <f t="shared" si="13"/>
        <v>570</v>
      </c>
      <c r="I57" s="300">
        <f t="shared" si="13"/>
        <v>544</v>
      </c>
      <c r="J57" s="300">
        <f t="shared" si="13"/>
        <v>605</v>
      </c>
      <c r="K57" s="300">
        <f t="shared" si="13"/>
        <v>583.5</v>
      </c>
      <c r="L57" s="300">
        <f t="shared" si="13"/>
        <v>583.5</v>
      </c>
      <c r="M57" s="300">
        <f t="shared" si="13"/>
        <v>498</v>
      </c>
      <c r="N57" s="300">
        <f t="shared" si="13"/>
        <v>583.5</v>
      </c>
      <c r="O57" s="290">
        <f t="shared" si="11"/>
        <v>4611.5</v>
      </c>
      <c r="P57" s="24"/>
      <c r="Q57" s="118"/>
      <c r="R57" s="118"/>
      <c r="S57" s="118"/>
      <c r="T57" s="1"/>
      <c r="U57" s="1"/>
      <c r="V57" s="1"/>
      <c r="W57" s="1"/>
      <c r="X57" s="1"/>
      <c r="Y57" s="1"/>
      <c r="Z57" s="1"/>
    </row>
    <row r="58" ht="15.75" customHeight="1">
      <c r="A58" s="24"/>
      <c r="B58" s="287" t="s">
        <v>200</v>
      </c>
      <c r="C58" s="301">
        <f>'4月'!C20+'4月'!C21+'4月'!C22+'4月'!C23</f>
        <v>0</v>
      </c>
      <c r="D58" s="301">
        <f>'5月'!C20+'5月'!C21+'5月'!C22+'5月'!C23</f>
        <v>0</v>
      </c>
      <c r="E58" s="301">
        <f>'6月'!C20+'6月'!C21+'6月'!C22+'6月'!C23</f>
        <v>0</v>
      </c>
      <c r="F58" s="301">
        <f>'7月'!C20+'7月'!C21+'7月'!C22+'7月'!C23</f>
        <v>0</v>
      </c>
      <c r="G58" s="301">
        <f>'8月'!C20+'8月'!C21+'8月'!C22+'8月'!C23</f>
        <v>0</v>
      </c>
      <c r="H58" s="301">
        <f>'9月'!C20+'9月'!C21+'9月'!C22+'9月'!C23</f>
        <v>0</v>
      </c>
      <c r="I58" s="301">
        <f>'10月'!C20+'10月'!C21+'10月'!C22+'10月'!C23</f>
        <v>0</v>
      </c>
      <c r="J58" s="301">
        <f>'11月'!C20+'11月'!C21+'11月'!C22+'11月'!C23</f>
        <v>0</v>
      </c>
      <c r="K58" s="301">
        <f>'12月'!C20+'12月'!C21+'12月'!C22+'12月'!C23</f>
        <v>0</v>
      </c>
      <c r="L58" s="301">
        <f>'1月'!C20+'1月'!C21+'1月'!C22+'1月'!C23</f>
        <v>0</v>
      </c>
      <c r="M58" s="301">
        <f>'2月'!C20+'2月'!C21+'2月'!C22+'2月'!C23</f>
        <v>0</v>
      </c>
      <c r="N58" s="301">
        <f>'3月'!C20+'3月'!C21+'3月'!C22+'3月'!C23</f>
        <v>0</v>
      </c>
      <c r="O58" s="301">
        <f t="shared" si="11"/>
        <v>0</v>
      </c>
      <c r="P58" s="24"/>
      <c r="Q58" s="118"/>
      <c r="R58" s="118"/>
      <c r="S58" s="118"/>
      <c r="T58" s="1"/>
      <c r="U58" s="1"/>
      <c r="V58" s="1"/>
      <c r="W58" s="1"/>
      <c r="X58" s="1"/>
      <c r="Y58" s="1"/>
      <c r="Z58" s="1"/>
    </row>
    <row r="59" ht="15.75" customHeight="1">
      <c r="A59" s="24"/>
      <c r="B59" s="287" t="s">
        <v>205</v>
      </c>
      <c r="C59" s="301">
        <f>'4月'!C25</f>
        <v>0</v>
      </c>
      <c r="D59" s="301">
        <f>'5月'!C25</f>
        <v>0</v>
      </c>
      <c r="E59" s="301">
        <f>'6月'!C25</f>
        <v>0</v>
      </c>
      <c r="F59" s="301">
        <f>'7月'!C25</f>
        <v>0</v>
      </c>
      <c r="G59" s="301">
        <f>'8月'!C25</f>
        <v>0</v>
      </c>
      <c r="H59" s="301">
        <f>'9月'!C25</f>
        <v>0</v>
      </c>
      <c r="I59" s="301">
        <f>'10月'!C25</f>
        <v>0</v>
      </c>
      <c r="J59" s="301">
        <f>'11月'!C25</f>
        <v>0</v>
      </c>
      <c r="K59" s="301">
        <f>'12月'!C25</f>
        <v>0</v>
      </c>
      <c r="L59" s="301">
        <f>'1月'!C25</f>
        <v>0</v>
      </c>
      <c r="M59" s="301">
        <f>'2月'!C25</f>
        <v>0</v>
      </c>
      <c r="N59" s="301">
        <f>'3月'!C25</f>
        <v>0</v>
      </c>
      <c r="O59" s="301">
        <f t="shared" si="11"/>
        <v>0</v>
      </c>
      <c r="P59" s="24"/>
      <c r="Q59" s="118"/>
      <c r="R59" s="118"/>
      <c r="S59" s="118"/>
      <c r="T59" s="1"/>
      <c r="U59" s="1"/>
      <c r="V59" s="1"/>
      <c r="W59" s="1"/>
      <c r="X59" s="1"/>
      <c r="Y59" s="1"/>
      <c r="Z59" s="1"/>
    </row>
    <row r="60" ht="15.75" customHeight="1">
      <c r="A60" s="24"/>
      <c r="B60" s="302" t="s">
        <v>666</v>
      </c>
      <c r="C60" s="303">
        <f t="shared" ref="C60:N60" si="14">C56+C58+C59</f>
        <v>0</v>
      </c>
      <c r="D60" s="303">
        <f t="shared" si="14"/>
        <v>0</v>
      </c>
      <c r="E60" s="303">
        <f t="shared" si="14"/>
        <v>0</v>
      </c>
      <c r="F60" s="303">
        <f t="shared" si="14"/>
        <v>0</v>
      </c>
      <c r="G60" s="303">
        <f t="shared" si="14"/>
        <v>120000</v>
      </c>
      <c r="H60" s="303">
        <f t="shared" si="14"/>
        <v>180000</v>
      </c>
      <c r="I60" s="304">
        <f t="shared" si="14"/>
        <v>240000</v>
      </c>
      <c r="J60" s="303">
        <f t="shared" si="14"/>
        <v>300000</v>
      </c>
      <c r="K60" s="303">
        <f t="shared" si="14"/>
        <v>360000</v>
      </c>
      <c r="L60" s="303">
        <f t="shared" si="14"/>
        <v>360000</v>
      </c>
      <c r="M60" s="303">
        <f t="shared" si="14"/>
        <v>360000</v>
      </c>
      <c r="N60" s="303">
        <f t="shared" si="14"/>
        <v>360000</v>
      </c>
      <c r="O60" s="303">
        <f t="shared" si="11"/>
        <v>2280000</v>
      </c>
      <c r="P60" s="24"/>
      <c r="Q60" s="118"/>
      <c r="R60" s="118"/>
      <c r="S60" s="118"/>
      <c r="T60" s="1"/>
      <c r="U60" s="1"/>
      <c r="V60" s="1"/>
      <c r="W60" s="1"/>
      <c r="X60" s="1"/>
      <c r="Y60" s="1"/>
      <c r="Z60" s="1"/>
    </row>
    <row r="61" ht="15.75" customHeight="1">
      <c r="A61" s="24"/>
      <c r="B61" s="287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24"/>
      <c r="Q61" s="118"/>
      <c r="R61" s="118"/>
      <c r="S61" s="118"/>
      <c r="T61" s="1"/>
      <c r="U61" s="1"/>
      <c r="V61" s="1"/>
      <c r="W61" s="1"/>
      <c r="X61" s="1"/>
      <c r="Y61" s="1"/>
      <c r="Z61" s="1"/>
    </row>
    <row r="62" ht="15.75" customHeight="1">
      <c r="A62" s="24"/>
      <c r="B62" s="306" t="s">
        <v>667</v>
      </c>
      <c r="C62" s="307">
        <f t="shared" ref="C62:N62" si="15">C47-C60</f>
        <v>0</v>
      </c>
      <c r="D62" s="307">
        <f t="shared" si="15"/>
        <v>0</v>
      </c>
      <c r="E62" s="307">
        <f t="shared" si="15"/>
        <v>0</v>
      </c>
      <c r="F62" s="307">
        <f t="shared" si="15"/>
        <v>0</v>
      </c>
      <c r="G62" s="307">
        <f t="shared" si="15"/>
        <v>337870</v>
      </c>
      <c r="H62" s="307">
        <f t="shared" si="15"/>
        <v>316650</v>
      </c>
      <c r="I62" s="307">
        <f t="shared" si="15"/>
        <v>523840</v>
      </c>
      <c r="J62" s="307">
        <f t="shared" si="15"/>
        <v>768900</v>
      </c>
      <c r="K62" s="307">
        <f t="shared" si="15"/>
        <v>851945</v>
      </c>
      <c r="L62" s="307">
        <f t="shared" si="15"/>
        <v>406010</v>
      </c>
      <c r="M62" s="307">
        <f t="shared" si="15"/>
        <v>367160</v>
      </c>
      <c r="N62" s="307">
        <f t="shared" si="15"/>
        <v>1038565</v>
      </c>
      <c r="O62" s="307">
        <f>SUM(C62:N62)</f>
        <v>4610940</v>
      </c>
      <c r="P62" s="24"/>
      <c r="Q62" s="118"/>
      <c r="R62" s="118"/>
      <c r="S62" s="118"/>
      <c r="T62" s="1"/>
      <c r="U62" s="1"/>
      <c r="V62" s="1"/>
      <c r="W62" s="1"/>
      <c r="X62" s="1"/>
      <c r="Y62" s="1"/>
      <c r="Z62" s="1"/>
    </row>
    <row r="63" ht="15.75" customHeight="1">
      <c r="A63" s="24"/>
      <c r="B63" s="308" t="s">
        <v>226</v>
      </c>
      <c r="C63" s="309">
        <f t="shared" ref="C63:O63" si="16">IF(C45=0,0,C62/C45)</f>
        <v>0</v>
      </c>
      <c r="D63" s="309">
        <f t="shared" si="16"/>
        <v>0</v>
      </c>
      <c r="E63" s="309">
        <f t="shared" si="16"/>
        <v>0</v>
      </c>
      <c r="F63" s="309">
        <f t="shared" si="16"/>
        <v>0</v>
      </c>
      <c r="G63" s="309">
        <f t="shared" si="16"/>
        <v>0.5165418132</v>
      </c>
      <c r="H63" s="309">
        <f t="shared" si="16"/>
        <v>0.4463002114</v>
      </c>
      <c r="I63" s="309">
        <f t="shared" si="16"/>
        <v>0.480058651</v>
      </c>
      <c r="J63" s="309">
        <f t="shared" si="16"/>
        <v>0.5035363458</v>
      </c>
      <c r="K63" s="309">
        <f t="shared" si="16"/>
        <v>0.4920697721</v>
      </c>
      <c r="L63" s="309">
        <f t="shared" si="16"/>
        <v>0.3710225715</v>
      </c>
      <c r="M63" s="309">
        <f t="shared" si="16"/>
        <v>0.3534462842</v>
      </c>
      <c r="N63" s="309">
        <f t="shared" si="16"/>
        <v>0.5198153107</v>
      </c>
      <c r="O63" s="309">
        <f t="shared" si="16"/>
        <v>0.4683915402</v>
      </c>
      <c r="P63" s="24"/>
      <c r="Q63" s="118"/>
      <c r="R63" s="118"/>
      <c r="S63" s="118"/>
      <c r="T63" s="1"/>
      <c r="U63" s="1"/>
      <c r="V63" s="1"/>
      <c r="W63" s="1"/>
      <c r="X63" s="1"/>
      <c r="Y63" s="1"/>
      <c r="Z63" s="1"/>
    </row>
    <row r="64" ht="15.75" customHeight="1">
      <c r="A64" s="24"/>
      <c r="B64" s="310"/>
      <c r="C64" s="311"/>
      <c r="D64" s="311"/>
      <c r="E64" s="311"/>
      <c r="F64" s="311"/>
      <c r="G64" s="311"/>
      <c r="H64" s="311"/>
      <c r="I64" s="311"/>
      <c r="J64" s="311"/>
      <c r="K64" s="311"/>
      <c r="L64" s="311"/>
      <c r="M64" s="311"/>
      <c r="N64" s="311"/>
      <c r="O64" s="24"/>
      <c r="P64" s="24"/>
      <c r="Q64" s="118"/>
      <c r="R64" s="118"/>
      <c r="S64" s="118"/>
      <c r="T64" s="1"/>
      <c r="U64" s="1"/>
      <c r="V64" s="1"/>
      <c r="W64" s="1"/>
      <c r="X64" s="1"/>
      <c r="Y64" s="1"/>
      <c r="Z64" s="1"/>
    </row>
    <row r="65" ht="15.75" customHeight="1">
      <c r="A65" s="24"/>
      <c r="B65" s="308"/>
      <c r="C65" s="312"/>
      <c r="D65" s="312"/>
      <c r="E65" s="312"/>
      <c r="F65" s="312"/>
      <c r="G65" s="312"/>
      <c r="H65" s="312"/>
      <c r="I65" s="313"/>
      <c r="J65" s="312"/>
      <c r="K65" s="312"/>
      <c r="L65" s="312"/>
      <c r="M65" s="312"/>
      <c r="N65" s="312"/>
      <c r="O65" s="312"/>
      <c r="P65" s="24"/>
      <c r="Q65" s="118"/>
      <c r="R65" s="118"/>
      <c r="S65" s="118"/>
      <c r="T65" s="1"/>
      <c r="U65" s="1"/>
      <c r="V65" s="1"/>
      <c r="W65" s="1"/>
      <c r="X65" s="1"/>
      <c r="Y65" s="1"/>
      <c r="Z65" s="1"/>
    </row>
    <row r="66" ht="15.75" customHeight="1">
      <c r="A66" s="24"/>
      <c r="B66" s="314"/>
      <c r="C66" s="315"/>
      <c r="D66" s="315"/>
      <c r="E66" s="315"/>
      <c r="F66" s="315"/>
      <c r="G66" s="315"/>
      <c r="H66" s="315"/>
      <c r="I66" s="316"/>
      <c r="J66" s="315"/>
      <c r="K66" s="315"/>
      <c r="L66" s="315"/>
      <c r="M66" s="315"/>
      <c r="N66" s="315"/>
      <c r="O66" s="315"/>
      <c r="P66" s="24"/>
      <c r="Q66" s="118"/>
      <c r="R66" s="118"/>
      <c r="S66" s="118"/>
      <c r="T66" s="1"/>
      <c r="U66" s="1"/>
      <c r="V66" s="1"/>
      <c r="W66" s="1"/>
      <c r="X66" s="1"/>
      <c r="Y66" s="1"/>
      <c r="Z66" s="1"/>
    </row>
    <row r="67" ht="15.75" customHeight="1">
      <c r="A67" s="24"/>
      <c r="B67" s="287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24"/>
      <c r="Q67" s="118"/>
      <c r="R67" s="118"/>
      <c r="S67" s="118"/>
      <c r="T67" s="1"/>
      <c r="U67" s="1"/>
      <c r="V67" s="1"/>
      <c r="W67" s="1"/>
      <c r="X67" s="1"/>
      <c r="Y67" s="1"/>
      <c r="Z67" s="1"/>
    </row>
    <row r="68" ht="15.75" customHeight="1">
      <c r="A68" s="24"/>
      <c r="B68" s="287"/>
      <c r="C68" s="317"/>
      <c r="D68" s="317"/>
      <c r="E68" s="317"/>
      <c r="F68" s="317"/>
      <c r="G68" s="317"/>
      <c r="H68" s="317"/>
      <c r="I68" s="317"/>
      <c r="J68" s="317"/>
      <c r="K68" s="317"/>
      <c r="L68" s="317"/>
      <c r="M68" s="317"/>
      <c r="N68" s="317"/>
      <c r="O68" s="318"/>
      <c r="P68" s="24"/>
      <c r="Q68" s="118"/>
      <c r="R68" s="118"/>
      <c r="S68" s="118"/>
      <c r="T68" s="1"/>
      <c r="U68" s="1"/>
      <c r="V68" s="1"/>
      <c r="W68" s="1"/>
      <c r="X68" s="1"/>
      <c r="Y68" s="1"/>
      <c r="Z68" s="1"/>
    </row>
    <row r="69" ht="15.75" customHeight="1">
      <c r="A69" s="24"/>
      <c r="B69" s="287"/>
      <c r="C69" s="317"/>
      <c r="D69" s="317"/>
      <c r="E69" s="317"/>
      <c r="F69" s="317"/>
      <c r="G69" s="317"/>
      <c r="H69" s="317"/>
      <c r="I69" s="317"/>
      <c r="J69" s="317"/>
      <c r="K69" s="317"/>
      <c r="L69" s="317"/>
      <c r="M69" s="317"/>
      <c r="N69" s="317"/>
      <c r="O69" s="319"/>
      <c r="P69" s="24"/>
      <c r="Q69" s="118"/>
      <c r="R69" s="118"/>
      <c r="S69" s="118"/>
      <c r="T69" s="1"/>
      <c r="U69" s="1"/>
      <c r="V69" s="1"/>
      <c r="W69" s="1"/>
      <c r="X69" s="1"/>
      <c r="Y69" s="1"/>
      <c r="Z69" s="1"/>
    </row>
    <row r="70" ht="15.75" customHeight="1">
      <c r="A70" s="24"/>
      <c r="B70" s="287"/>
      <c r="C70" s="317"/>
      <c r="D70" s="317"/>
      <c r="E70" s="317"/>
      <c r="F70" s="317"/>
      <c r="G70" s="317"/>
      <c r="H70" s="317"/>
      <c r="I70" s="317"/>
      <c r="J70" s="317"/>
      <c r="K70" s="317"/>
      <c r="L70" s="317"/>
      <c r="M70" s="317"/>
      <c r="N70" s="317"/>
      <c r="O70" s="319"/>
      <c r="P70" s="24"/>
      <c r="Q70" s="118"/>
      <c r="R70" s="118"/>
      <c r="S70" s="118"/>
      <c r="T70" s="1"/>
      <c r="U70" s="1"/>
      <c r="V70" s="1"/>
      <c r="W70" s="1"/>
      <c r="X70" s="1"/>
      <c r="Y70" s="1"/>
      <c r="Z70" s="1"/>
    </row>
    <row r="71" ht="15.75" customHeight="1">
      <c r="A71" s="24"/>
      <c r="B71" s="28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20"/>
      <c r="P71" s="24"/>
      <c r="Q71" s="1"/>
      <c r="R71" s="1"/>
      <c r="S71" s="1"/>
    </row>
    <row r="72" ht="15.75" customHeight="1">
      <c r="A72" s="24"/>
      <c r="B72" s="287"/>
      <c r="C72" s="317"/>
      <c r="D72" s="317"/>
      <c r="E72" s="317"/>
      <c r="F72" s="317"/>
      <c r="G72" s="317"/>
      <c r="H72" s="317"/>
      <c r="I72" s="317"/>
      <c r="J72" s="317"/>
      <c r="K72" s="317"/>
      <c r="L72" s="317"/>
      <c r="M72" s="317"/>
      <c r="N72" s="317"/>
      <c r="O72" s="320"/>
      <c r="P72" s="24"/>
      <c r="Q72" s="1"/>
      <c r="R72" s="1"/>
      <c r="S72" s="1"/>
    </row>
    <row r="73" ht="15.75" customHeight="1">
      <c r="A73" s="24"/>
      <c r="B73" s="308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4"/>
      <c r="B74" s="308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4"/>
      <c r="B75" s="321" t="s">
        <v>668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4"/>
      <c r="B76" s="322" t="s">
        <v>3</v>
      </c>
      <c r="C76" s="323" t="s">
        <v>468</v>
      </c>
      <c r="D76" s="323" t="s">
        <v>469</v>
      </c>
      <c r="E76" s="323" t="s">
        <v>470</v>
      </c>
      <c r="F76" s="323" t="s">
        <v>471</v>
      </c>
      <c r="G76" s="323" t="s">
        <v>98</v>
      </c>
      <c r="H76" s="323" t="s">
        <v>99</v>
      </c>
      <c r="I76" s="323" t="s">
        <v>100</v>
      </c>
      <c r="J76" s="323" t="s">
        <v>101</v>
      </c>
      <c r="K76" s="323" t="s">
        <v>102</v>
      </c>
      <c r="L76" s="323" t="s">
        <v>103</v>
      </c>
      <c r="M76" s="323" t="s">
        <v>104</v>
      </c>
      <c r="N76" s="323" t="s">
        <v>105</v>
      </c>
      <c r="O76" s="322"/>
      <c r="P76" s="24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4"/>
      <c r="B77" s="299" t="s">
        <v>669</v>
      </c>
      <c r="C77" s="324">
        <f t="shared" ref="C77:N77" si="17">C62</f>
        <v>0</v>
      </c>
      <c r="D77" s="324">
        <f t="shared" si="17"/>
        <v>0</v>
      </c>
      <c r="E77" s="324">
        <f t="shared" si="17"/>
        <v>0</v>
      </c>
      <c r="F77" s="324">
        <f t="shared" si="17"/>
        <v>0</v>
      </c>
      <c r="G77" s="324">
        <f t="shared" si="17"/>
        <v>337870</v>
      </c>
      <c r="H77" s="324">
        <f t="shared" si="17"/>
        <v>316650</v>
      </c>
      <c r="I77" s="324">
        <f t="shared" si="17"/>
        <v>523840</v>
      </c>
      <c r="J77" s="324">
        <f t="shared" si="17"/>
        <v>768900</v>
      </c>
      <c r="K77" s="324">
        <f t="shared" si="17"/>
        <v>851945</v>
      </c>
      <c r="L77" s="324">
        <f t="shared" si="17"/>
        <v>406010</v>
      </c>
      <c r="M77" s="324">
        <f t="shared" si="17"/>
        <v>367160</v>
      </c>
      <c r="N77" s="324">
        <f t="shared" si="17"/>
        <v>1038565</v>
      </c>
      <c r="O77" s="305"/>
      <c r="P77" s="24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4"/>
      <c r="B78" s="299" t="s">
        <v>670</v>
      </c>
      <c r="C78" s="324">
        <v>0.0</v>
      </c>
      <c r="D78" s="324">
        <v>0.0</v>
      </c>
      <c r="E78" s="324">
        <v>0.0</v>
      </c>
      <c r="F78" s="324">
        <v>0.0</v>
      </c>
      <c r="G78" s="324">
        <f>('役員報酬・社保'!$C$17+'役員報酬・社保'!$D$17+'役員報酬・社保'!$E$17+'役員報酬・社保'!$F$71)</f>
        <v>211343.1</v>
      </c>
      <c r="H78" s="324">
        <f>('役員報酬・社保'!$C$17+'役員報酬・社保'!$D$17+'役員報酬・社保'!$E$17+'役員報酬・社保'!$F$71)</f>
        <v>211343.1</v>
      </c>
      <c r="I78" s="324">
        <f>('役員報酬・社保'!$C$17+'役員報酬・社保'!$D$17+'役員報酬・社保'!$E$17+'役員報酬・社保'!$F$71)</f>
        <v>211343.1</v>
      </c>
      <c r="J78" s="324">
        <f>('役員報酬・社保'!$C$17+'役員報酬・社保'!$D$17+'役員報酬・社保'!$E$17+'役員報酬・社保'!$F$71)</f>
        <v>211343.1</v>
      </c>
      <c r="K78" s="324">
        <f>('役員報酬・社保'!$C$17+'役員報酬・社保'!$D$17+'役員報酬・社保'!$E$17+'役員報酬・社保'!$F$71)</f>
        <v>211343.1</v>
      </c>
      <c r="L78" s="324">
        <f>('役員報酬・社保'!$C$17+'役員報酬・社保'!$D$17+'役員報酬・社保'!$E$17+'役員報酬・社保'!$F$71)</f>
        <v>211343.1</v>
      </c>
      <c r="M78" s="324">
        <f>('役員報酬・社保'!$C$17+'役員報酬・社保'!$D$17+'役員報酬・社保'!$E$17+'役員報酬・社保'!$F$71)</f>
        <v>211343.1</v>
      </c>
      <c r="N78" s="324">
        <f>('役員報酬・社保'!$C$17+'役員報酬・社保'!$D$17+'役員報酬・社保'!$E$17+'役員報酬・社保'!$F$71)</f>
        <v>211343.1</v>
      </c>
      <c r="O78" s="305"/>
      <c r="P78" s="24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4"/>
      <c r="B79" s="299" t="s">
        <v>671</v>
      </c>
      <c r="C79" s="324">
        <f>'4月'!D54</f>
        <v>0</v>
      </c>
      <c r="D79" s="324">
        <f>'5月'!D54</f>
        <v>114000</v>
      </c>
      <c r="E79" s="324">
        <f>'6月'!D54</f>
        <v>1946388</v>
      </c>
      <c r="F79" s="324">
        <f>'7月'!D54</f>
        <v>455918</v>
      </c>
      <c r="G79" s="324">
        <f>'8月'!D54</f>
        <v>2800000</v>
      </c>
      <c r="H79" s="324">
        <f>'9月'!D54</f>
        <v>0</v>
      </c>
      <c r="I79" s="324">
        <f>'10月'!D54</f>
        <v>0</v>
      </c>
      <c r="J79" s="324">
        <f>'11月'!D54</f>
        <v>0</v>
      </c>
      <c r="K79" s="324">
        <f>'12月'!D54</f>
        <v>0</v>
      </c>
      <c r="L79" s="324">
        <f>'1月'!D54</f>
        <v>0</v>
      </c>
      <c r="M79" s="324">
        <f>'2月'!D54</f>
        <v>0</v>
      </c>
      <c r="N79" s="324">
        <f>'3月'!D54</f>
        <v>0</v>
      </c>
      <c r="O79" s="305"/>
      <c r="P79" s="24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4"/>
      <c r="B80" s="306" t="s">
        <v>672</v>
      </c>
      <c r="C80" s="325">
        <f>'4月'!I75</f>
        <v>0</v>
      </c>
      <c r="D80" s="325">
        <f>'5月'!I75</f>
        <v>2886000</v>
      </c>
      <c r="E80" s="325">
        <f>'6月'!I75</f>
        <v>939612</v>
      </c>
      <c r="F80" s="325">
        <f>'7月'!I75</f>
        <v>3983694</v>
      </c>
      <c r="G80" s="296">
        <f t="shared" ref="G80:N80" si="18">F80+G77-G78-G79</f>
        <v>1310220.9</v>
      </c>
      <c r="H80" s="296">
        <f t="shared" si="18"/>
        <v>1415527.8</v>
      </c>
      <c r="I80" s="296">
        <f t="shared" si="18"/>
        <v>1728024.7</v>
      </c>
      <c r="J80" s="296">
        <f t="shared" si="18"/>
        <v>2285581.6</v>
      </c>
      <c r="K80" s="296">
        <f t="shared" si="18"/>
        <v>2926183.5</v>
      </c>
      <c r="L80" s="296">
        <f t="shared" si="18"/>
        <v>3120850.4</v>
      </c>
      <c r="M80" s="296">
        <f t="shared" si="18"/>
        <v>3276667.3</v>
      </c>
      <c r="N80" s="296">
        <f t="shared" si="18"/>
        <v>4103889.2</v>
      </c>
      <c r="O80" s="305"/>
      <c r="P80" s="24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4"/>
      <c r="B81" s="326" t="s">
        <v>673</v>
      </c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05"/>
      <c r="P81" s="24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4"/>
      <c r="B82" s="327" t="s">
        <v>674</v>
      </c>
      <c r="C82" s="319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05"/>
      <c r="P82" s="24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4"/>
      <c r="B83" s="326" t="s">
        <v>675</v>
      </c>
      <c r="C83" s="319"/>
      <c r="D83" s="319"/>
      <c r="E83" s="319"/>
      <c r="F83" s="319"/>
      <c r="G83" s="319"/>
      <c r="H83" s="319"/>
      <c r="I83" s="319"/>
      <c r="J83" s="319"/>
      <c r="K83" s="319"/>
      <c r="L83" s="319"/>
      <c r="M83" s="319"/>
      <c r="N83" s="319"/>
      <c r="O83" s="305"/>
      <c r="P83" s="24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4"/>
      <c r="B84" s="328"/>
      <c r="C84" s="319"/>
      <c r="D84" s="319"/>
      <c r="E84" s="319"/>
      <c r="F84" s="319"/>
      <c r="G84" s="319"/>
      <c r="H84" s="319"/>
      <c r="I84" s="319"/>
      <c r="J84" s="319"/>
      <c r="K84" s="319"/>
      <c r="L84" s="319"/>
      <c r="M84" s="319"/>
      <c r="N84" s="319"/>
      <c r="O84" s="305"/>
      <c r="P84" s="24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4"/>
      <c r="B85" s="328"/>
      <c r="C85" s="305"/>
      <c r="D85" s="305"/>
      <c r="E85" s="305"/>
      <c r="F85" s="305"/>
      <c r="G85" s="305"/>
      <c r="H85" s="305"/>
      <c r="I85" s="305"/>
      <c r="J85" s="305"/>
      <c r="K85" s="305"/>
      <c r="L85" s="305"/>
      <c r="M85" s="305"/>
      <c r="N85" s="305"/>
      <c r="O85" s="305"/>
      <c r="P85" s="24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4"/>
      <c r="B86" s="329"/>
      <c r="C86" s="330"/>
      <c r="D86" s="330"/>
      <c r="E86" s="330"/>
      <c r="F86" s="330"/>
      <c r="G86" s="330"/>
      <c r="H86" s="330"/>
      <c r="I86" s="330"/>
      <c r="J86" s="330"/>
      <c r="K86" s="330"/>
      <c r="L86" s="330"/>
      <c r="M86" s="330"/>
      <c r="N86" s="330"/>
      <c r="O86" s="330"/>
      <c r="P86" s="24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4"/>
      <c r="B88" s="310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4"/>
      <c r="B89" s="310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4"/>
      <c r="B90" s="310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10" t="s">
        <v>676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10" t="s">
        <v>677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4" t="s">
        <v>678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3" t="s">
        <v>679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331" t="s">
        <v>680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332" t="s">
        <v>681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48.0" customHeight="1">
      <c r="A97" s="1"/>
      <c r="B97" s="333" t="s">
        <v>682</v>
      </c>
      <c r="C97" s="230" t="s">
        <v>468</v>
      </c>
      <c r="D97" s="230" t="s">
        <v>469</v>
      </c>
      <c r="E97" s="230" t="s">
        <v>470</v>
      </c>
      <c r="F97" s="230" t="s">
        <v>471</v>
      </c>
      <c r="G97" s="230" t="s">
        <v>98</v>
      </c>
      <c r="H97" s="230" t="s">
        <v>99</v>
      </c>
      <c r="I97" s="183" t="s">
        <v>100</v>
      </c>
      <c r="J97" s="230" t="s">
        <v>101</v>
      </c>
      <c r="K97" s="230" t="s">
        <v>102</v>
      </c>
      <c r="L97" s="230" t="s">
        <v>103</v>
      </c>
      <c r="M97" s="230" t="s">
        <v>104</v>
      </c>
      <c r="N97" s="230" t="s">
        <v>105</v>
      </c>
      <c r="O97" s="102" t="s">
        <v>638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48.0" customHeight="1">
      <c r="A98" s="1"/>
      <c r="B98" s="334" t="s">
        <v>683</v>
      </c>
      <c r="C98" s="335">
        <v>1.7</v>
      </c>
      <c r="D98" s="335">
        <v>1.45</v>
      </c>
      <c r="E98" s="335">
        <v>0.85</v>
      </c>
      <c r="F98" s="335">
        <v>0.8</v>
      </c>
      <c r="G98" s="335">
        <v>1.3</v>
      </c>
      <c r="H98" s="335">
        <v>1.2</v>
      </c>
      <c r="I98" s="335">
        <v>1.15</v>
      </c>
      <c r="J98" s="335">
        <v>1.55</v>
      </c>
      <c r="K98" s="335">
        <v>0.85</v>
      </c>
      <c r="L98" s="335">
        <v>0.6</v>
      </c>
      <c r="M98" s="335">
        <v>0.55</v>
      </c>
      <c r="N98" s="335">
        <v>1.0</v>
      </c>
      <c r="O98" s="336">
        <f t="shared" ref="O98:O99" si="19">IFERROR(AVERAGEIF(C98:N98,"&gt;0"),0)</f>
        <v>1.083333333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337" t="s">
        <v>684</v>
      </c>
      <c r="C99" s="338">
        <v>1.25</v>
      </c>
      <c r="D99" s="338">
        <v>1.15</v>
      </c>
      <c r="E99" s="338">
        <v>0.9</v>
      </c>
      <c r="F99" s="338">
        <v>1.1</v>
      </c>
      <c r="G99" s="338">
        <v>1.4</v>
      </c>
      <c r="H99" s="338">
        <v>1.05</v>
      </c>
      <c r="I99" s="338">
        <v>1.2</v>
      </c>
      <c r="J99" s="338">
        <v>1.3</v>
      </c>
      <c r="K99" s="338">
        <v>1.5</v>
      </c>
      <c r="L99" s="338">
        <v>0.75</v>
      </c>
      <c r="M99" s="338">
        <v>0.7</v>
      </c>
      <c r="N99" s="338">
        <v>1.2</v>
      </c>
      <c r="O99" s="336">
        <f t="shared" si="19"/>
        <v>1.125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339" t="s">
        <v>685</v>
      </c>
      <c r="C100" s="140" t="s">
        <v>686</v>
      </c>
      <c r="D100" s="219" t="s">
        <v>687</v>
      </c>
      <c r="E100" s="140" t="s">
        <v>688</v>
      </c>
      <c r="F100" s="140" t="s">
        <v>689</v>
      </c>
      <c r="G100" s="140" t="s">
        <v>690</v>
      </c>
      <c r="H100" s="219" t="s">
        <v>691</v>
      </c>
      <c r="I100" s="140" t="s">
        <v>692</v>
      </c>
      <c r="J100" s="140" t="s">
        <v>693</v>
      </c>
      <c r="K100" s="140" t="s">
        <v>694</v>
      </c>
      <c r="L100" s="140" t="s">
        <v>695</v>
      </c>
      <c r="M100" s="140" t="s">
        <v>696</v>
      </c>
      <c r="N100" s="140" t="s">
        <v>697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340" t="s">
        <v>698</v>
      </c>
      <c r="C101" s="341" t="s">
        <v>699</v>
      </c>
      <c r="D101" s="342" t="s">
        <v>700</v>
      </c>
      <c r="E101" s="341" t="s">
        <v>701</v>
      </c>
      <c r="F101" s="341" t="s">
        <v>702</v>
      </c>
      <c r="G101" s="341" t="s">
        <v>703</v>
      </c>
      <c r="H101" s="342" t="s">
        <v>704</v>
      </c>
      <c r="I101" s="343" t="s">
        <v>705</v>
      </c>
      <c r="J101" s="341" t="s">
        <v>706</v>
      </c>
      <c r="K101" s="341" t="s">
        <v>707</v>
      </c>
      <c r="L101" s="341" t="s">
        <v>708</v>
      </c>
      <c r="M101" s="341" t="s">
        <v>709</v>
      </c>
      <c r="N101" s="341" t="s">
        <v>710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344" t="s">
        <v>711</v>
      </c>
      <c r="C102" s="345" t="s">
        <v>712</v>
      </c>
      <c r="D102" s="346" t="s">
        <v>713</v>
      </c>
      <c r="E102" s="345" t="s">
        <v>714</v>
      </c>
      <c r="F102" s="345" t="s">
        <v>715</v>
      </c>
      <c r="G102" s="346" t="s">
        <v>716</v>
      </c>
      <c r="H102" s="346" t="s">
        <v>717</v>
      </c>
      <c r="I102" s="347" t="s">
        <v>718</v>
      </c>
      <c r="J102" s="345" t="s">
        <v>719</v>
      </c>
      <c r="K102" s="345" t="s">
        <v>720</v>
      </c>
      <c r="L102" s="345" t="s">
        <v>721</v>
      </c>
      <c r="M102" s="345" t="s">
        <v>722</v>
      </c>
      <c r="N102" s="345" t="s">
        <v>723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40" t="s">
        <v>724</v>
      </c>
      <c r="C103" s="348">
        <v>87420.0</v>
      </c>
      <c r="D103" s="348">
        <v>69308.0</v>
      </c>
      <c r="E103" s="348">
        <v>37496.0</v>
      </c>
      <c r="F103" s="348">
        <v>33854.0</v>
      </c>
      <c r="G103" s="348">
        <v>62333.0</v>
      </c>
      <c r="H103" s="348">
        <v>43683.0</v>
      </c>
      <c r="I103" s="348">
        <v>58076.0</v>
      </c>
      <c r="J103" s="348">
        <v>74524.0</v>
      </c>
      <c r="K103" s="348">
        <v>44781.0</v>
      </c>
      <c r="L103" s="348">
        <v>34456.0</v>
      </c>
      <c r="M103" s="348">
        <v>33261.0</v>
      </c>
      <c r="N103" s="348">
        <v>57063.0</v>
      </c>
      <c r="O103" s="349">
        <f>SUM(C99:N99)</f>
        <v>13.5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95" t="s">
        <v>725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95" t="s">
        <v>726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4" t="s">
        <v>727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3" t="s">
        <v>728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6" t="s">
        <v>729</v>
      </c>
      <c r="C117" s="350">
        <v>5.0</v>
      </c>
      <c r="D117" s="3" t="s">
        <v>730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3" t="s">
        <v>731</v>
      </c>
      <c r="C118" s="10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31" t="s">
        <v>468</v>
      </c>
      <c r="D119" s="31" t="s">
        <v>469</v>
      </c>
      <c r="E119" s="31" t="s">
        <v>470</v>
      </c>
      <c r="F119" s="31" t="s">
        <v>471</v>
      </c>
      <c r="G119" s="31" t="s">
        <v>98</v>
      </c>
      <c r="H119" s="31" t="s">
        <v>99</v>
      </c>
      <c r="I119" s="31" t="s">
        <v>100</v>
      </c>
      <c r="J119" s="31" t="s">
        <v>101</v>
      </c>
      <c r="K119" s="31" t="s">
        <v>102</v>
      </c>
      <c r="L119" s="31" t="s">
        <v>103</v>
      </c>
      <c r="M119" s="31" t="s">
        <v>104</v>
      </c>
      <c r="N119" s="31" t="s">
        <v>105</v>
      </c>
      <c r="O119" s="5" t="s">
        <v>106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3" t="s">
        <v>732</v>
      </c>
      <c r="C120" s="351">
        <v>1.0</v>
      </c>
      <c r="D120" s="351">
        <v>2.0</v>
      </c>
      <c r="E120" s="351">
        <v>3.0</v>
      </c>
      <c r="F120" s="351">
        <v>4.0</v>
      </c>
      <c r="G120" s="351">
        <v>5.0</v>
      </c>
      <c r="H120" s="351">
        <v>6.0</v>
      </c>
      <c r="I120" s="351">
        <v>7.0</v>
      </c>
      <c r="J120" s="351">
        <v>8.0</v>
      </c>
      <c r="K120" s="351">
        <v>9.0</v>
      </c>
      <c r="L120" s="351">
        <v>10.0</v>
      </c>
      <c r="M120" s="351">
        <v>11.0</v>
      </c>
      <c r="N120" s="351">
        <v>12.0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6" t="s">
        <v>733</v>
      </c>
      <c r="C121" s="15">
        <f>IF(C120&gt;=$C$117,'役員報酬・社保'!C17,0)</f>
        <v>0</v>
      </c>
      <c r="D121" s="15">
        <f>IF(D120&gt;=$C$117,'役員報酬・社保'!C17,0)</f>
        <v>0</v>
      </c>
      <c r="E121" s="15">
        <f>IF(E120&gt;=$C$117,'役員報酬・社保'!C17,0)</f>
        <v>0</v>
      </c>
      <c r="F121" s="15">
        <f>IF(F120&gt;=$C$117,'役員報酬・社保'!C17,0)</f>
        <v>0</v>
      </c>
      <c r="G121" s="15">
        <f>IF(G120&gt;=$C$117,'役員報酬・社保'!C17,0)</f>
        <v>62000</v>
      </c>
      <c r="H121" s="15">
        <f>IF(H120&gt;=$C$117,'役員報酬・社保'!C17,0)</f>
        <v>62000</v>
      </c>
      <c r="I121" s="15">
        <f>IF(I120&gt;=$C$117,'役員報酬・社保'!C17,0)</f>
        <v>62000</v>
      </c>
      <c r="J121" s="15">
        <f>IF(J120&gt;=$C$117,'役員報酬・社保'!C17,0)</f>
        <v>62000</v>
      </c>
      <c r="K121" s="15">
        <f>IF(K120&gt;=$C$117,'役員報酬・社保'!C17,0)</f>
        <v>62000</v>
      </c>
      <c r="L121" s="15">
        <f>IF(L120&gt;=$C$117,'役員報酬・社保'!C17,0)</f>
        <v>62000</v>
      </c>
      <c r="M121" s="15">
        <f>IF(M120&gt;=$C$117,'役員報酬・社保'!C17,0)</f>
        <v>62000</v>
      </c>
      <c r="N121" s="15">
        <f>IF(N120&gt;=$C$117,'役員報酬・社保'!C17,0)</f>
        <v>62000</v>
      </c>
      <c r="O121" s="14">
        <f t="shared" ref="O121:O124" si="20">SUM(C121:N121)</f>
        <v>496000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6" t="s">
        <v>734</v>
      </c>
      <c r="C122" s="15">
        <f>IF(C120&gt;=7,'役員報酬・社保'!D17,0)</f>
        <v>0</v>
      </c>
      <c r="D122" s="15">
        <f>IF(D120&gt;=7,'役員報酬・社保'!D17,0)</f>
        <v>0</v>
      </c>
      <c r="E122" s="15">
        <f>IF(E120&gt;=7,'役員報酬・社保'!D17,0)</f>
        <v>0</v>
      </c>
      <c r="F122" s="15">
        <f>IF(F120&gt;=7,'役員報酬・社保'!D17,0)</f>
        <v>0</v>
      </c>
      <c r="G122" s="15">
        <f>IF(G120&gt;=7,'役員報酬・社保'!D17,0)</f>
        <v>0</v>
      </c>
      <c r="H122" s="15">
        <f>IF(H120&gt;=7,'役員報酬・社保'!D17,0)</f>
        <v>0</v>
      </c>
      <c r="I122" s="15">
        <f>IF(I120&gt;=7,'役員報酬・社保'!D17,0)</f>
        <v>62000</v>
      </c>
      <c r="J122" s="15">
        <f>IF(J120&gt;=7,'役員報酬・社保'!D17,0)</f>
        <v>62000</v>
      </c>
      <c r="K122" s="15">
        <f>IF(K120&gt;=7,'役員報酬・社保'!D17,0)</f>
        <v>62000</v>
      </c>
      <c r="L122" s="15">
        <f>IF(L120&gt;=7,'役員報酬・社保'!D17,0)</f>
        <v>62000</v>
      </c>
      <c r="M122" s="15">
        <f>IF(M120&gt;=7,'役員報酬・社保'!D17,0)</f>
        <v>62000</v>
      </c>
      <c r="N122" s="15">
        <f>IF(N120&gt;=7,'役員報酬・社保'!D17,0)</f>
        <v>62000</v>
      </c>
      <c r="O122" s="14">
        <f t="shared" si="20"/>
        <v>372000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6" t="s">
        <v>735</v>
      </c>
      <c r="C123" s="15">
        <f>IF(C120&gt;=$C$117,'役員報酬・社保'!E17,0)</f>
        <v>0</v>
      </c>
      <c r="D123" s="15">
        <f>IF(D120&gt;=$C$117,'役員報酬・社保'!E17,0)</f>
        <v>0</v>
      </c>
      <c r="E123" s="15">
        <f>IF(E120&gt;=$C$117,'役員報酬・社保'!E17,0)</f>
        <v>0</v>
      </c>
      <c r="F123" s="15">
        <f>IF(F120&gt;=$C$117,'役員報酬・社保'!E17,0)</f>
        <v>0</v>
      </c>
      <c r="G123" s="15">
        <f>IF(G120&gt;=$C$117,'役員報酬・社保'!E17,0)</f>
        <v>62000</v>
      </c>
      <c r="H123" s="15">
        <f>IF(H120&gt;=$C$117,'役員報酬・社保'!E17,0)</f>
        <v>62000</v>
      </c>
      <c r="I123" s="15">
        <f>IF(I120&gt;=$C$117,'役員報酬・社保'!E17,0)</f>
        <v>62000</v>
      </c>
      <c r="J123" s="15">
        <f>IF(J120&gt;=$C$117,'役員報酬・社保'!E17,0)</f>
        <v>62000</v>
      </c>
      <c r="K123" s="15">
        <f>IF(K120&gt;=$C$117,'役員報酬・社保'!E17,0)</f>
        <v>62000</v>
      </c>
      <c r="L123" s="15">
        <f>IF(L120&gt;=$C$117,'役員報酬・社保'!E17,0)</f>
        <v>62000</v>
      </c>
      <c r="M123" s="15">
        <f>IF(M120&gt;=$C$117,'役員報酬・社保'!E17,0)</f>
        <v>62000</v>
      </c>
      <c r="N123" s="15">
        <f>IF(N120&gt;=$C$117,'役員報酬・社保'!E17,0)</f>
        <v>62000</v>
      </c>
      <c r="O123" s="14">
        <f t="shared" si="20"/>
        <v>496000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6" t="s">
        <v>736</v>
      </c>
      <c r="C124" s="17">
        <f t="shared" ref="C124:N124" si="21">SUM(C121:C123)</f>
        <v>0</v>
      </c>
      <c r="D124" s="17">
        <f t="shared" si="21"/>
        <v>0</v>
      </c>
      <c r="E124" s="17">
        <f t="shared" si="21"/>
        <v>0</v>
      </c>
      <c r="F124" s="17">
        <f t="shared" si="21"/>
        <v>0</v>
      </c>
      <c r="G124" s="17">
        <f t="shared" si="21"/>
        <v>124000</v>
      </c>
      <c r="H124" s="17">
        <f t="shared" si="21"/>
        <v>124000</v>
      </c>
      <c r="I124" s="17">
        <f t="shared" si="21"/>
        <v>186000</v>
      </c>
      <c r="J124" s="17">
        <f t="shared" si="21"/>
        <v>186000</v>
      </c>
      <c r="K124" s="17">
        <f t="shared" si="21"/>
        <v>186000</v>
      </c>
      <c r="L124" s="17">
        <f t="shared" si="21"/>
        <v>186000</v>
      </c>
      <c r="M124" s="17">
        <f t="shared" si="21"/>
        <v>186000</v>
      </c>
      <c r="N124" s="17">
        <f t="shared" si="21"/>
        <v>186000</v>
      </c>
      <c r="O124" s="352">
        <f t="shared" si="20"/>
        <v>1364000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6" t="s">
        <v>737</v>
      </c>
      <c r="C126" s="15">
        <f>IF(C120&gt;=$C$117,'役員報酬・社保'!C71+'役員報酬・社保'!E71,0)+IF(C120&gt;=7,'役員報酬・社保'!D71,0)</f>
        <v>0</v>
      </c>
      <c r="D126" s="15">
        <f>IF(D120&gt;=$C$117,'役員報酬・社保'!C71+'役員報酬・社保'!E71,0)+IF(D120&gt;=7,'役員報酬・社保'!D71,0)</f>
        <v>0</v>
      </c>
      <c r="E126" s="15">
        <f>IF(E120&gt;=$C$117,'役員報酬・社保'!C71+'役員報酬・社保'!E71,0)+IF(E120&gt;=7,'役員報酬・社保'!D71,0)</f>
        <v>0</v>
      </c>
      <c r="F126" s="15">
        <f>IF(F120&gt;=$C$117,'役員報酬・社保'!C71+'役員報酬・社保'!E71,0)+IF(F120&gt;=7,'役員報酬・社保'!D71,0)</f>
        <v>0</v>
      </c>
      <c r="G126" s="15">
        <f>IF(G120&gt;=$C$117,'役員報酬・社保'!C71+'役員報酬・社保'!E71,0)+IF(G120&gt;=7,'役員報酬・社保'!D71,0)</f>
        <v>16895.4</v>
      </c>
      <c r="H126" s="15">
        <f>IF(H120&gt;=$C$117,'役員報酬・社保'!C71+'役員報酬・社保'!E71,0)+IF(H120&gt;=7,'役員報酬・社保'!D71,0)</f>
        <v>16895.4</v>
      </c>
      <c r="I126" s="15">
        <f>IF(I120&gt;=$C$117,'役員報酬・社保'!C71+'役員報酬・社保'!E71,0)+IF(I120&gt;=7,'役員報酬・社保'!D71,0)</f>
        <v>25343.1</v>
      </c>
      <c r="J126" s="15">
        <f>IF(J120&gt;=$C$117,'役員報酬・社保'!C71+'役員報酬・社保'!E71,0)+IF(J120&gt;=7,'役員報酬・社保'!D71,0)</f>
        <v>25343.1</v>
      </c>
      <c r="K126" s="15">
        <f>IF(K120&gt;=$C$117,'役員報酬・社保'!C71+'役員報酬・社保'!E71,0)+IF(K120&gt;=7,'役員報酬・社保'!D71,0)</f>
        <v>25343.1</v>
      </c>
      <c r="L126" s="15">
        <f>IF(L120&gt;=$C$117,'役員報酬・社保'!C71+'役員報酬・社保'!E71,0)+IF(L120&gt;=7,'役員報酬・社保'!D71,0)</f>
        <v>25343.1</v>
      </c>
      <c r="M126" s="15">
        <f>IF(M120&gt;=$C$117,'役員報酬・社保'!C71+'役員報酬・社保'!E71,0)+IF(M120&gt;=7,'役員報酬・社保'!D71,0)</f>
        <v>25343.1</v>
      </c>
      <c r="N126" s="15">
        <f>IF(N120&gt;=$C$117,'役員報酬・社保'!C71+'役員報酬・社保'!E71,0)+IF(N120&gt;=7,'役員報酬・社保'!D71,0)</f>
        <v>25343.1</v>
      </c>
      <c r="O126" s="14">
        <f t="shared" ref="O126:O128" si="22">SUM(C126:N126)</f>
        <v>185849.4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6" t="s">
        <v>738</v>
      </c>
      <c r="C127" s="15">
        <v>0.0</v>
      </c>
      <c r="D127" s="15">
        <v>0.0</v>
      </c>
      <c r="E127" s="15">
        <v>0.0</v>
      </c>
      <c r="F127" s="15">
        <v>0.0</v>
      </c>
      <c r="G127" s="15">
        <v>0.0</v>
      </c>
      <c r="H127" s="15">
        <v>0.0</v>
      </c>
      <c r="I127" s="15">
        <v>0.0</v>
      </c>
      <c r="J127" s="15">
        <v>0.0</v>
      </c>
      <c r="K127" s="15">
        <v>0.0</v>
      </c>
      <c r="L127" s="15">
        <v>0.0</v>
      </c>
      <c r="M127" s="15">
        <v>0.0</v>
      </c>
      <c r="N127" s="15">
        <f>'役員報酬・社保'!C21+'役員報酬・社保'!D21+'役員報酬・社保'!E21</f>
        <v>0</v>
      </c>
      <c r="O127" s="14">
        <f t="shared" si="22"/>
        <v>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6" t="s">
        <v>739</v>
      </c>
      <c r="C128" s="15">
        <v>0.0</v>
      </c>
      <c r="D128" s="15">
        <v>0.0</v>
      </c>
      <c r="E128" s="15">
        <v>0.0</v>
      </c>
      <c r="F128" s="15">
        <v>0.0</v>
      </c>
      <c r="G128" s="15">
        <v>0.0</v>
      </c>
      <c r="H128" s="15">
        <v>0.0</v>
      </c>
      <c r="I128" s="15">
        <v>0.0</v>
      </c>
      <c r="J128" s="15">
        <v>0.0</v>
      </c>
      <c r="K128" s="15">
        <v>0.0</v>
      </c>
      <c r="L128" s="15">
        <v>0.0</v>
      </c>
      <c r="M128" s="15">
        <v>0.0</v>
      </c>
      <c r="N128" s="15">
        <f>'役員報酬・社保'!C78+'役員報酬・社保'!D78+'役員報酬・社保'!E78</f>
        <v>0</v>
      </c>
      <c r="O128" s="14">
        <f t="shared" si="22"/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6" t="s">
        <v>740</v>
      </c>
      <c r="C130" s="17">
        <f t="shared" ref="C130:N130" si="23">C124+C126+C127+C128+C147+C148</f>
        <v>0</v>
      </c>
      <c r="D130" s="17">
        <f t="shared" si="23"/>
        <v>0</v>
      </c>
      <c r="E130" s="17">
        <f t="shared" si="23"/>
        <v>0</v>
      </c>
      <c r="F130" s="17">
        <f t="shared" si="23"/>
        <v>0</v>
      </c>
      <c r="G130" s="17">
        <f t="shared" si="23"/>
        <v>227295.4</v>
      </c>
      <c r="H130" s="17">
        <f t="shared" si="23"/>
        <v>227295.4</v>
      </c>
      <c r="I130" s="17">
        <f t="shared" si="23"/>
        <v>297743.1</v>
      </c>
      <c r="J130" s="17">
        <f t="shared" si="23"/>
        <v>297743.1</v>
      </c>
      <c r="K130" s="17">
        <f t="shared" si="23"/>
        <v>297743.1</v>
      </c>
      <c r="L130" s="17">
        <f t="shared" si="23"/>
        <v>297743.1</v>
      </c>
      <c r="M130" s="17">
        <f t="shared" si="23"/>
        <v>297743.1</v>
      </c>
      <c r="N130" s="17">
        <f t="shared" si="23"/>
        <v>297743.1</v>
      </c>
      <c r="O130" s="352">
        <f t="shared" ref="O130:O131" si="25">SUM(C130:N130)</f>
        <v>2241049.4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3" t="s">
        <v>741</v>
      </c>
      <c r="C131" s="14">
        <f t="shared" ref="C131:N131" si="24">IF($C$118="未払い",C124+C126+C127+C128,0)</f>
        <v>0</v>
      </c>
      <c r="D131" s="14">
        <f t="shared" si="24"/>
        <v>0</v>
      </c>
      <c r="E131" s="14">
        <f t="shared" si="24"/>
        <v>0</v>
      </c>
      <c r="F131" s="14">
        <f t="shared" si="24"/>
        <v>0</v>
      </c>
      <c r="G131" s="14">
        <f t="shared" si="24"/>
        <v>0</v>
      </c>
      <c r="H131" s="14">
        <f t="shared" si="24"/>
        <v>0</v>
      </c>
      <c r="I131" s="14">
        <f t="shared" si="24"/>
        <v>0</v>
      </c>
      <c r="J131" s="14">
        <f t="shared" si="24"/>
        <v>0</v>
      </c>
      <c r="K131" s="14">
        <f t="shared" si="24"/>
        <v>0</v>
      </c>
      <c r="L131" s="14">
        <f t="shared" si="24"/>
        <v>0</v>
      </c>
      <c r="M131" s="14">
        <f t="shared" si="24"/>
        <v>0</v>
      </c>
      <c r="N131" s="14">
        <f t="shared" si="24"/>
        <v>0</v>
      </c>
      <c r="O131" s="14">
        <f t="shared" si="25"/>
        <v>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3" t="s">
        <v>742</v>
      </c>
      <c r="C132" s="14">
        <f>C131</f>
        <v>0</v>
      </c>
      <c r="D132" s="14">
        <f t="shared" ref="D132:N132" si="26">C132+D131</f>
        <v>0</v>
      </c>
      <c r="E132" s="14">
        <f t="shared" si="26"/>
        <v>0</v>
      </c>
      <c r="F132" s="14">
        <f t="shared" si="26"/>
        <v>0</v>
      </c>
      <c r="G132" s="14">
        <f t="shared" si="26"/>
        <v>0</v>
      </c>
      <c r="H132" s="14">
        <f t="shared" si="26"/>
        <v>0</v>
      </c>
      <c r="I132" s="14">
        <f t="shared" si="26"/>
        <v>0</v>
      </c>
      <c r="J132" s="14">
        <f t="shared" si="26"/>
        <v>0</v>
      </c>
      <c r="K132" s="14">
        <f t="shared" si="26"/>
        <v>0</v>
      </c>
      <c r="L132" s="14">
        <f t="shared" si="26"/>
        <v>0</v>
      </c>
      <c r="M132" s="14">
        <f t="shared" si="26"/>
        <v>0</v>
      </c>
      <c r="N132" s="14">
        <f t="shared" si="26"/>
        <v>0</v>
      </c>
      <c r="O132" s="14">
        <f>N132</f>
        <v>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4" t="s">
        <v>743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3" t="s">
        <v>744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6" t="s">
        <v>745</v>
      </c>
      <c r="C135" s="15">
        <f>O62</f>
        <v>4610940</v>
      </c>
      <c r="D135" s="3" t="s">
        <v>746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6" t="s">
        <v>747</v>
      </c>
      <c r="C136" s="15">
        <f>-O130</f>
        <v>-2241049.4</v>
      </c>
      <c r="D136" s="3" t="s">
        <v>748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6" t="s">
        <v>749</v>
      </c>
      <c r="C137" s="15">
        <f>C135+C136</f>
        <v>2369890.6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6" t="s">
        <v>750</v>
      </c>
      <c r="C138" s="15">
        <f>IF(C137&lt;=0,0,IF(C137&lt;=8000000,C137*0.25,8000000*0.25+(C137-8000000)*0.3))</f>
        <v>592472.65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6" t="s">
        <v>751</v>
      </c>
      <c r="C139" s="17">
        <f>C137-C138</f>
        <v>1777417.95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4" t="s">
        <v>752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3" t="s">
        <v>753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31" t="s">
        <v>468</v>
      </c>
      <c r="D143" s="31" t="s">
        <v>469</v>
      </c>
      <c r="E143" s="31" t="s">
        <v>470</v>
      </c>
      <c r="F143" s="31" t="s">
        <v>471</v>
      </c>
      <c r="G143" s="31" t="s">
        <v>98</v>
      </c>
      <c r="H143" s="31" t="s">
        <v>99</v>
      </c>
      <c r="I143" s="31" t="s">
        <v>100</v>
      </c>
      <c r="J143" s="31" t="s">
        <v>101</v>
      </c>
      <c r="K143" s="31" t="s">
        <v>102</v>
      </c>
      <c r="L143" s="31" t="s">
        <v>103</v>
      </c>
      <c r="M143" s="31" t="s">
        <v>104</v>
      </c>
      <c r="N143" s="31" t="s">
        <v>105</v>
      </c>
      <c r="O143" s="5" t="s">
        <v>106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6" t="s">
        <v>754</v>
      </c>
      <c r="C144" s="15">
        <f>IF(C120&gt;=$C$117,'役員報酬・社保'!C112,0)</f>
        <v>0</v>
      </c>
      <c r="D144" s="15">
        <f>IF(D120&gt;=$C$117,'役員報酬・社保'!C112,0)</f>
        <v>0</v>
      </c>
      <c r="E144" s="15">
        <f>IF(E120&gt;=$C$117,'役員報酬・社保'!C112,0)</f>
        <v>0</v>
      </c>
      <c r="F144" s="15">
        <f>IF(F120&gt;=$C$117,'役員報酬・社保'!C112,0)</f>
        <v>0</v>
      </c>
      <c r="G144" s="15">
        <f>IF(G120&gt;=$C$117,'役員報酬・社保'!C112,0)</f>
        <v>0</v>
      </c>
      <c r="H144" s="15">
        <f>IF(H120&gt;=$C$117,'役員報酬・社保'!C112,0)</f>
        <v>0</v>
      </c>
      <c r="I144" s="15">
        <f>IF(I120&gt;=$C$117,'役員報酬・社保'!C112,0)</f>
        <v>0</v>
      </c>
      <c r="J144" s="15">
        <f>IF(J120&gt;=$C$117,'役員報酬・社保'!C112,0)</f>
        <v>0</v>
      </c>
      <c r="K144" s="15">
        <f>IF(K120&gt;=$C$117,'役員報酬・社保'!C112,0)</f>
        <v>0</v>
      </c>
      <c r="L144" s="15">
        <f>IF(L120&gt;=$C$117,'役員報酬・社保'!C112,0)</f>
        <v>0</v>
      </c>
      <c r="M144" s="15">
        <f>IF(M120&gt;=$C$117,'役員報酬・社保'!C112,0)</f>
        <v>0</v>
      </c>
      <c r="N144" s="15">
        <f>IF(N120&gt;=$C$117,'役員報酬・社保'!C112,0)</f>
        <v>0</v>
      </c>
      <c r="O144" s="14">
        <f t="shared" ref="O144:O148" si="27">SUM(C144:N144)</f>
        <v>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6" t="s">
        <v>755</v>
      </c>
      <c r="C145" s="15">
        <f>IF(C120&gt;=6,'役員報酬・社保'!D112,0)</f>
        <v>0</v>
      </c>
      <c r="D145" s="15">
        <f>IF(D120&gt;=6,'役員報酬・社保'!D112,0)</f>
        <v>0</v>
      </c>
      <c r="E145" s="15">
        <f>IF(E120&gt;=6,'役員報酬・社保'!D112,0)</f>
        <v>0</v>
      </c>
      <c r="F145" s="15">
        <f>IF(F120&gt;=6,'役員報酬・社保'!D112,0)</f>
        <v>0</v>
      </c>
      <c r="G145" s="15">
        <f>IF(G120&gt;=6,'役員報酬・社保'!D112,0)</f>
        <v>0</v>
      </c>
      <c r="H145" s="15">
        <f>IF(H120&gt;=6,'役員報酬・社保'!D112,0)</f>
        <v>0</v>
      </c>
      <c r="I145" s="15">
        <f>IF(I120&gt;=6,'役員報酬・社保'!D112,0)</f>
        <v>0</v>
      </c>
      <c r="J145" s="15">
        <f>IF(J120&gt;=6,'役員報酬・社保'!D112,0)</f>
        <v>0</v>
      </c>
      <c r="K145" s="15">
        <f>IF(K120&gt;=6,'役員報酬・社保'!D112,0)</f>
        <v>0</v>
      </c>
      <c r="L145" s="15">
        <f>IF(L120&gt;=6,'役員報酬・社保'!D112,0)</f>
        <v>0</v>
      </c>
      <c r="M145" s="15">
        <f>IF(M120&gt;=6,'役員報酬・社保'!D112,0)</f>
        <v>0</v>
      </c>
      <c r="N145" s="15">
        <f>IF(N120&gt;=6,'役員報酬・社保'!D112,0)</f>
        <v>0</v>
      </c>
      <c r="O145" s="14">
        <f t="shared" si="27"/>
        <v>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6" t="s">
        <v>756</v>
      </c>
      <c r="C146" s="15">
        <f>IF(C120&gt;=$C$117,'役員報酬・社保'!E112,0)</f>
        <v>0</v>
      </c>
      <c r="D146" s="15">
        <f>IF(D120&gt;=$C$117,'役員報酬・社保'!E112,0)</f>
        <v>0</v>
      </c>
      <c r="E146" s="15">
        <f>IF(E120&gt;=$C$117,'役員報酬・社保'!E112,0)</f>
        <v>0</v>
      </c>
      <c r="F146" s="15">
        <f>IF(F120&gt;=$C$117,'役員報酬・社保'!E112,0)</f>
        <v>0</v>
      </c>
      <c r="G146" s="15">
        <f>IF(G120&gt;=$C$117,'役員報酬・社保'!E112,0)</f>
        <v>0</v>
      </c>
      <c r="H146" s="15">
        <f>IF(H120&gt;=$C$117,'役員報酬・社保'!E112,0)</f>
        <v>0</v>
      </c>
      <c r="I146" s="15">
        <f>IF(I120&gt;=$C$117,'役員報酬・社保'!E112,0)</f>
        <v>0</v>
      </c>
      <c r="J146" s="15">
        <f>IF(J120&gt;=$C$117,'役員報酬・社保'!E112,0)</f>
        <v>0</v>
      </c>
      <c r="K146" s="15">
        <f>IF(K120&gt;=$C$117,'役員報酬・社保'!E112,0)</f>
        <v>0</v>
      </c>
      <c r="L146" s="15">
        <f>IF(L120&gt;=$C$117,'役員報酬・社保'!E112,0)</f>
        <v>0</v>
      </c>
      <c r="M146" s="15">
        <f>IF(M120&gt;=$C$117,'役員報酬・社保'!E112,0)</f>
        <v>0</v>
      </c>
      <c r="N146" s="15">
        <f>IF(N120&gt;=$C$117,'役員報酬・社保'!E112,0)</f>
        <v>0</v>
      </c>
      <c r="O146" s="14">
        <f t="shared" si="27"/>
        <v>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6" t="s">
        <v>237</v>
      </c>
      <c r="C147" s="17">
        <f t="shared" ref="C147:N147" si="28">SUM(C144:C146)</f>
        <v>0</v>
      </c>
      <c r="D147" s="17">
        <f t="shared" si="28"/>
        <v>0</v>
      </c>
      <c r="E147" s="17">
        <f t="shared" si="28"/>
        <v>0</v>
      </c>
      <c r="F147" s="17">
        <f t="shared" si="28"/>
        <v>0</v>
      </c>
      <c r="G147" s="17">
        <f t="shared" si="28"/>
        <v>0</v>
      </c>
      <c r="H147" s="17">
        <f t="shared" si="28"/>
        <v>0</v>
      </c>
      <c r="I147" s="17">
        <f t="shared" si="28"/>
        <v>0</v>
      </c>
      <c r="J147" s="17">
        <f t="shared" si="28"/>
        <v>0</v>
      </c>
      <c r="K147" s="17">
        <f t="shared" si="28"/>
        <v>0</v>
      </c>
      <c r="L147" s="17">
        <f t="shared" si="28"/>
        <v>0</v>
      </c>
      <c r="M147" s="17">
        <f t="shared" si="28"/>
        <v>0</v>
      </c>
      <c r="N147" s="17">
        <f t="shared" si="28"/>
        <v>0</v>
      </c>
      <c r="O147" s="352">
        <f t="shared" si="27"/>
        <v>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 t="s">
        <v>757</v>
      </c>
      <c r="C148" s="1">
        <f t="shared" ref="C148:N148" si="29">IF(C120&gt;=$C$117,86400,0)</f>
        <v>0</v>
      </c>
      <c r="D148" s="1">
        <f t="shared" si="29"/>
        <v>0</v>
      </c>
      <c r="E148" s="1">
        <f t="shared" si="29"/>
        <v>0</v>
      </c>
      <c r="F148" s="1">
        <f t="shared" si="29"/>
        <v>0</v>
      </c>
      <c r="G148" s="1">
        <f t="shared" si="29"/>
        <v>86400</v>
      </c>
      <c r="H148" s="1">
        <f t="shared" si="29"/>
        <v>86400</v>
      </c>
      <c r="I148" s="1">
        <f t="shared" si="29"/>
        <v>86400</v>
      </c>
      <c r="J148" s="1">
        <f t="shared" si="29"/>
        <v>86400</v>
      </c>
      <c r="K148" s="1">
        <f t="shared" si="29"/>
        <v>86400</v>
      </c>
      <c r="L148" s="1">
        <f t="shared" si="29"/>
        <v>86400</v>
      </c>
      <c r="M148" s="1">
        <f t="shared" si="29"/>
        <v>86400</v>
      </c>
      <c r="N148" s="1">
        <f t="shared" si="29"/>
        <v>86400</v>
      </c>
      <c r="O148" s="1">
        <f t="shared" si="27"/>
        <v>691200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85" t="s">
        <v>758</v>
      </c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95" t="s">
        <v>759</v>
      </c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02"/>
      <c r="C151" s="278" t="s">
        <v>468</v>
      </c>
      <c r="D151" s="278" t="s">
        <v>469</v>
      </c>
      <c r="E151" s="278" t="s">
        <v>470</v>
      </c>
      <c r="F151" s="278" t="s">
        <v>471</v>
      </c>
      <c r="G151" s="278" t="s">
        <v>98</v>
      </c>
      <c r="H151" s="278" t="s">
        <v>99</v>
      </c>
      <c r="I151" s="279" t="s">
        <v>100</v>
      </c>
      <c r="J151" s="278" t="s">
        <v>101</v>
      </c>
      <c r="K151" s="278" t="s">
        <v>102</v>
      </c>
      <c r="L151" s="278" t="s">
        <v>103</v>
      </c>
      <c r="M151" s="278" t="s">
        <v>104</v>
      </c>
      <c r="N151" s="278" t="s">
        <v>105</v>
      </c>
      <c r="O151" s="280" t="s">
        <v>106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354" t="s">
        <v>760</v>
      </c>
      <c r="C152" s="233"/>
      <c r="D152" s="233"/>
      <c r="E152" s="233"/>
      <c r="F152" s="233"/>
      <c r="G152" s="233"/>
      <c r="H152" s="233">
        <v>100000.0</v>
      </c>
      <c r="I152" s="233">
        <v>100000.0</v>
      </c>
      <c r="J152" s="233">
        <v>100000.0</v>
      </c>
      <c r="K152" s="233">
        <v>200000.0</v>
      </c>
      <c r="L152" s="233"/>
      <c r="M152" s="233"/>
      <c r="N152" s="355">
        <v>50000.0</v>
      </c>
      <c r="O152" s="212">
        <f t="shared" ref="O152:O155" si="30">SUM(C152:N152)</f>
        <v>550000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354" t="s">
        <v>761</v>
      </c>
      <c r="C153" s="233"/>
      <c r="D153" s="233"/>
      <c r="E153" s="233"/>
      <c r="F153" s="233"/>
      <c r="G153" s="233"/>
      <c r="H153" s="233">
        <v>100000.0</v>
      </c>
      <c r="I153" s="233">
        <v>100000.0</v>
      </c>
      <c r="J153" s="233">
        <v>100000.0</v>
      </c>
      <c r="K153" s="233">
        <v>200000.0</v>
      </c>
      <c r="L153" s="233"/>
      <c r="M153" s="233"/>
      <c r="N153" s="355">
        <v>50000.0</v>
      </c>
      <c r="O153" s="212">
        <f t="shared" si="30"/>
        <v>550000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354" t="s">
        <v>762</v>
      </c>
      <c r="C154" s="233"/>
      <c r="D154" s="233"/>
      <c r="E154" s="233"/>
      <c r="F154" s="233"/>
      <c r="G154" s="233"/>
      <c r="H154" s="233"/>
      <c r="I154" s="233"/>
      <c r="J154" s="233"/>
      <c r="K154" s="233"/>
      <c r="L154" s="233"/>
      <c r="M154" s="233"/>
      <c r="N154" s="233"/>
      <c r="O154" s="212">
        <f t="shared" si="30"/>
        <v>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32" t="s">
        <v>763</v>
      </c>
      <c r="C155" s="356">
        <f t="shared" ref="C155:N155" si="31">C152+C153+C154</f>
        <v>0</v>
      </c>
      <c r="D155" s="356">
        <f t="shared" si="31"/>
        <v>0</v>
      </c>
      <c r="E155" s="356">
        <f t="shared" si="31"/>
        <v>0</v>
      </c>
      <c r="F155" s="356">
        <f t="shared" si="31"/>
        <v>0</v>
      </c>
      <c r="G155" s="356">
        <f t="shared" si="31"/>
        <v>0</v>
      </c>
      <c r="H155" s="356">
        <f t="shared" si="31"/>
        <v>200000</v>
      </c>
      <c r="I155" s="356">
        <f t="shared" si="31"/>
        <v>200000</v>
      </c>
      <c r="J155" s="356">
        <f t="shared" si="31"/>
        <v>200000</v>
      </c>
      <c r="K155" s="356">
        <f t="shared" si="31"/>
        <v>400000</v>
      </c>
      <c r="L155" s="356">
        <f t="shared" si="31"/>
        <v>0</v>
      </c>
      <c r="M155" s="356">
        <f t="shared" si="31"/>
        <v>0</v>
      </c>
      <c r="N155" s="356">
        <f t="shared" si="31"/>
        <v>100000</v>
      </c>
      <c r="O155" s="212">
        <f t="shared" si="30"/>
        <v>1100000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O1"/>
    <mergeCell ref="B4:O4"/>
    <mergeCell ref="B14:O14"/>
    <mergeCell ref="B20:O20"/>
    <mergeCell ref="B27:O27"/>
    <mergeCell ref="B41:O41"/>
    <mergeCell ref="B149:O149"/>
  </mergeCells>
  <conditionalFormatting sqref="C86">
    <cfRule type="cellIs" dxfId="0" priority="1" operator="lessThan">
      <formula>(C57+C58)*1</formula>
    </cfRule>
  </conditionalFormatting>
  <conditionalFormatting sqref="C86">
    <cfRule type="cellIs" dxfId="1" priority="2" operator="lessThan">
      <formula>(C57+C58)*2.5</formula>
    </cfRule>
  </conditionalFormatting>
  <conditionalFormatting sqref="C86">
    <cfRule type="cellIs" dxfId="2" priority="3" operator="greaterThanOrEqual">
      <formula>(C57+C58)*6</formula>
    </cfRule>
  </conditionalFormatting>
  <conditionalFormatting sqref="D86">
    <cfRule type="cellIs" dxfId="0" priority="4" operator="lessThan">
      <formula>(D57+D58)*1</formula>
    </cfRule>
  </conditionalFormatting>
  <conditionalFormatting sqref="D86">
    <cfRule type="cellIs" dxfId="1" priority="5" operator="lessThan">
      <formula>(D57+D58)*2.5</formula>
    </cfRule>
  </conditionalFormatting>
  <conditionalFormatting sqref="D86">
    <cfRule type="cellIs" dxfId="2" priority="6" operator="greaterThanOrEqual">
      <formula>(D57+D58)*6</formula>
    </cfRule>
  </conditionalFormatting>
  <conditionalFormatting sqref="E86">
    <cfRule type="cellIs" dxfId="0" priority="7" operator="lessThan">
      <formula>(E57+E58)*1</formula>
    </cfRule>
  </conditionalFormatting>
  <conditionalFormatting sqref="E86">
    <cfRule type="cellIs" dxfId="1" priority="8" operator="lessThan">
      <formula>(E57+E58)*2.5</formula>
    </cfRule>
  </conditionalFormatting>
  <conditionalFormatting sqref="E86">
    <cfRule type="cellIs" dxfId="2" priority="9" operator="greaterThanOrEqual">
      <formula>(E57+E58)*6</formula>
    </cfRule>
  </conditionalFormatting>
  <conditionalFormatting sqref="F86">
    <cfRule type="cellIs" dxfId="0" priority="10" operator="lessThan">
      <formula>(F57+F58)*1</formula>
    </cfRule>
  </conditionalFormatting>
  <conditionalFormatting sqref="F86">
    <cfRule type="cellIs" dxfId="1" priority="11" operator="lessThan">
      <formula>(F57+F58)*2.5</formula>
    </cfRule>
  </conditionalFormatting>
  <conditionalFormatting sqref="F86">
    <cfRule type="cellIs" dxfId="2" priority="12" operator="greaterThanOrEqual">
      <formula>(F57+F58)*6</formula>
    </cfRule>
  </conditionalFormatting>
  <conditionalFormatting sqref="G86">
    <cfRule type="cellIs" dxfId="0" priority="13" operator="lessThan">
      <formula>(G57+G58)*1</formula>
    </cfRule>
  </conditionalFormatting>
  <conditionalFormatting sqref="G86">
    <cfRule type="cellIs" dxfId="1" priority="14" operator="lessThan">
      <formula>(G57+G58)*2.5</formula>
    </cfRule>
  </conditionalFormatting>
  <conditionalFormatting sqref="G86">
    <cfRule type="cellIs" dxfId="2" priority="15" operator="greaterThanOrEqual">
      <formula>(G57+G58)*6</formula>
    </cfRule>
  </conditionalFormatting>
  <conditionalFormatting sqref="H86">
    <cfRule type="cellIs" dxfId="0" priority="16" operator="lessThan">
      <formula>(H57+H58)*1</formula>
    </cfRule>
  </conditionalFormatting>
  <conditionalFormatting sqref="H86">
    <cfRule type="cellIs" dxfId="1" priority="17" operator="lessThan">
      <formula>(H57+H58)*2.5</formula>
    </cfRule>
  </conditionalFormatting>
  <conditionalFormatting sqref="H86">
    <cfRule type="cellIs" dxfId="2" priority="18" operator="greaterThanOrEqual">
      <formula>(H57+H58)*6</formula>
    </cfRule>
  </conditionalFormatting>
  <conditionalFormatting sqref="I86">
    <cfRule type="cellIs" dxfId="0" priority="19" operator="lessThan">
      <formula>(I57+I58)*1</formula>
    </cfRule>
  </conditionalFormatting>
  <conditionalFormatting sqref="I86">
    <cfRule type="cellIs" dxfId="1" priority="20" operator="lessThan">
      <formula>(I57+I58)*2.5</formula>
    </cfRule>
  </conditionalFormatting>
  <conditionalFormatting sqref="I86">
    <cfRule type="cellIs" dxfId="2" priority="21" operator="greaterThanOrEqual">
      <formula>(I57+I58)*6</formula>
    </cfRule>
  </conditionalFormatting>
  <conditionalFormatting sqref="J86">
    <cfRule type="cellIs" dxfId="0" priority="22" operator="lessThan">
      <formula>(J57+J58)*1</formula>
    </cfRule>
  </conditionalFormatting>
  <conditionalFormatting sqref="J86">
    <cfRule type="cellIs" dxfId="1" priority="23" operator="lessThan">
      <formula>(J57+J58)*2.5</formula>
    </cfRule>
  </conditionalFormatting>
  <conditionalFormatting sqref="J86">
    <cfRule type="cellIs" dxfId="2" priority="24" operator="greaterThanOrEqual">
      <formula>(J57+J58)*6</formula>
    </cfRule>
  </conditionalFormatting>
  <conditionalFormatting sqref="K86">
    <cfRule type="cellIs" dxfId="0" priority="25" operator="lessThan">
      <formula>(K57+K58)*1</formula>
    </cfRule>
  </conditionalFormatting>
  <conditionalFormatting sqref="K86">
    <cfRule type="cellIs" dxfId="1" priority="26" operator="lessThan">
      <formula>(K57+K58)*2.5</formula>
    </cfRule>
  </conditionalFormatting>
  <conditionalFormatting sqref="K86">
    <cfRule type="cellIs" dxfId="2" priority="27" operator="greaterThanOrEqual">
      <formula>(K57+K58)*6</formula>
    </cfRule>
  </conditionalFormatting>
  <conditionalFormatting sqref="L86">
    <cfRule type="cellIs" dxfId="0" priority="28" operator="lessThan">
      <formula>(L57+L58)*1</formula>
    </cfRule>
  </conditionalFormatting>
  <conditionalFormatting sqref="L86">
    <cfRule type="cellIs" dxfId="1" priority="29" operator="lessThan">
      <formula>(L57+L58)*2.5</formula>
    </cfRule>
  </conditionalFormatting>
  <conditionalFormatting sqref="L86">
    <cfRule type="cellIs" dxfId="2" priority="30" operator="greaterThanOrEqual">
      <formula>(L57+L58)*6</formula>
    </cfRule>
  </conditionalFormatting>
  <conditionalFormatting sqref="M86">
    <cfRule type="cellIs" dxfId="0" priority="31" operator="lessThan">
      <formula>(M57+M58)*1</formula>
    </cfRule>
  </conditionalFormatting>
  <conditionalFormatting sqref="M86">
    <cfRule type="cellIs" dxfId="1" priority="32" operator="lessThan">
      <formula>(M57+M58)*2.5</formula>
    </cfRule>
  </conditionalFormatting>
  <conditionalFormatting sqref="M86">
    <cfRule type="cellIs" dxfId="2" priority="33" operator="greaterThanOrEqual">
      <formula>(M57+M58)*6</formula>
    </cfRule>
  </conditionalFormatting>
  <conditionalFormatting sqref="N86">
    <cfRule type="cellIs" dxfId="0" priority="34" operator="lessThan">
      <formula>(N57+N58)*1</formula>
    </cfRule>
  </conditionalFormatting>
  <conditionalFormatting sqref="N86">
    <cfRule type="cellIs" dxfId="1" priority="35" operator="lessThan">
      <formula>(N57+N58)*2.5</formula>
    </cfRule>
  </conditionalFormatting>
  <conditionalFormatting sqref="N86">
    <cfRule type="cellIs" dxfId="2" priority="36" operator="greaterThanOrEqual">
      <formula>(N57+N58)*6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.0"/>
    <col customWidth="1" min="2" max="2" width="20.0"/>
    <col customWidth="1" min="3" max="14" width="14.0"/>
  </cols>
  <sheetData>
    <row r="1" ht="17.25" customHeight="1">
      <c r="A1" s="1"/>
      <c r="B1" s="44" t="s">
        <v>764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5" t="s">
        <v>765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3" t="s">
        <v>766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02" t="s">
        <v>3</v>
      </c>
      <c r="C5" s="230" t="s">
        <v>468</v>
      </c>
      <c r="D5" s="230" t="s">
        <v>469</v>
      </c>
      <c r="E5" s="230" t="s">
        <v>470</v>
      </c>
      <c r="F5" s="230" t="s">
        <v>471</v>
      </c>
      <c r="G5" s="230" t="s">
        <v>98</v>
      </c>
      <c r="H5" s="230" t="s">
        <v>99</v>
      </c>
      <c r="I5" s="230" t="s">
        <v>100</v>
      </c>
      <c r="J5" s="230" t="s">
        <v>101</v>
      </c>
      <c r="K5" s="230" t="s">
        <v>102</v>
      </c>
      <c r="L5" s="230" t="s">
        <v>103</v>
      </c>
      <c r="M5" s="230" t="s">
        <v>104</v>
      </c>
      <c r="N5" s="230" t="s">
        <v>105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58" t="s">
        <v>246</v>
      </c>
      <c r="C6" s="52">
        <f>'4月'!H20</f>
        <v>0</v>
      </c>
      <c r="D6" s="52">
        <f>'5月'!H20</f>
        <v>0</v>
      </c>
      <c r="E6" s="52">
        <f>'6月'!H20</f>
        <v>0</v>
      </c>
      <c r="F6" s="52">
        <f>'7月'!H20</f>
        <v>0</v>
      </c>
      <c r="G6" s="52">
        <f>'8月'!H20</f>
        <v>0</v>
      </c>
      <c r="H6" s="52">
        <f>'9月'!H20</f>
        <v>0</v>
      </c>
      <c r="I6" s="52">
        <f>'10月'!H20</f>
        <v>0</v>
      </c>
      <c r="J6" s="52">
        <f>'11月'!H20</f>
        <v>0</v>
      </c>
      <c r="K6" s="52">
        <f>'12月'!H20</f>
        <v>0</v>
      </c>
      <c r="L6" s="52">
        <f>'1月'!H20</f>
        <v>0</v>
      </c>
      <c r="M6" s="52">
        <f>'2月'!H20</f>
        <v>0</v>
      </c>
      <c r="N6" s="52">
        <f>'3月'!H20</f>
        <v>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58" t="s">
        <v>507</v>
      </c>
      <c r="C7" s="52">
        <f>'4月'!C16</f>
        <v>0</v>
      </c>
      <c r="D7" s="52">
        <f>'5月'!C16</f>
        <v>0</v>
      </c>
      <c r="E7" s="52">
        <f>'6月'!C16</f>
        <v>0</v>
      </c>
      <c r="F7" s="52">
        <f>'7月'!C16</f>
        <v>0</v>
      </c>
      <c r="G7" s="52">
        <f>'8月'!C16</f>
        <v>0</v>
      </c>
      <c r="H7" s="52">
        <f>'9月'!C16</f>
        <v>0</v>
      </c>
      <c r="I7" s="52">
        <f>'10月'!C16</f>
        <v>0</v>
      </c>
      <c r="J7" s="52">
        <f>'11月'!C16</f>
        <v>0</v>
      </c>
      <c r="K7" s="52">
        <f>'12月'!C16</f>
        <v>0</v>
      </c>
      <c r="L7" s="52">
        <f>'1月'!C16</f>
        <v>0</v>
      </c>
      <c r="M7" s="52">
        <f>'2月'!C16</f>
        <v>0</v>
      </c>
      <c r="N7" s="52">
        <f>'3月'!C16</f>
        <v>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09" t="s">
        <v>185</v>
      </c>
      <c r="C8" s="281">
        <f t="shared" ref="C8:N8" si="1">C6-C7</f>
        <v>0</v>
      </c>
      <c r="D8" s="281">
        <f t="shared" si="1"/>
        <v>0</v>
      </c>
      <c r="E8" s="281">
        <f t="shared" si="1"/>
        <v>0</v>
      </c>
      <c r="F8" s="281">
        <f t="shared" si="1"/>
        <v>0</v>
      </c>
      <c r="G8" s="281">
        <f t="shared" si="1"/>
        <v>0</v>
      </c>
      <c r="H8" s="281">
        <f t="shared" si="1"/>
        <v>0</v>
      </c>
      <c r="I8" s="281">
        <f t="shared" si="1"/>
        <v>0</v>
      </c>
      <c r="J8" s="281">
        <f t="shared" si="1"/>
        <v>0</v>
      </c>
      <c r="K8" s="281">
        <f t="shared" si="1"/>
        <v>0</v>
      </c>
      <c r="L8" s="281">
        <f t="shared" si="1"/>
        <v>0</v>
      </c>
      <c r="M8" s="281">
        <f t="shared" si="1"/>
        <v>0</v>
      </c>
      <c r="N8" s="281">
        <f t="shared" si="1"/>
        <v>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58" t="s">
        <v>254</v>
      </c>
      <c r="C9" s="96">
        <f t="shared" ref="C9:N9" si="2">IF(C6=0,0,C8/C6)</f>
        <v>0</v>
      </c>
      <c r="D9" s="96">
        <f t="shared" si="2"/>
        <v>0</v>
      </c>
      <c r="E9" s="96">
        <f t="shared" si="2"/>
        <v>0</v>
      </c>
      <c r="F9" s="96">
        <f t="shared" si="2"/>
        <v>0</v>
      </c>
      <c r="G9" s="96">
        <f t="shared" si="2"/>
        <v>0</v>
      </c>
      <c r="H9" s="96">
        <f t="shared" si="2"/>
        <v>0</v>
      </c>
      <c r="I9" s="96">
        <f t="shared" si="2"/>
        <v>0</v>
      </c>
      <c r="J9" s="96">
        <f t="shared" si="2"/>
        <v>0</v>
      </c>
      <c r="K9" s="96">
        <f t="shared" si="2"/>
        <v>0</v>
      </c>
      <c r="L9" s="96">
        <f t="shared" si="2"/>
        <v>0</v>
      </c>
      <c r="M9" s="96">
        <f t="shared" si="2"/>
        <v>0</v>
      </c>
      <c r="N9" s="96">
        <f t="shared" si="2"/>
        <v>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58" t="s">
        <v>767</v>
      </c>
      <c r="C10" s="52">
        <f>'4月'!C30-'4月'!C29</f>
        <v>0</v>
      </c>
      <c r="D10" s="52">
        <f>'5月'!C30-'5月'!C29</f>
        <v>0</v>
      </c>
      <c r="E10" s="52">
        <f>'6月'!C30-'6月'!C29</f>
        <v>0</v>
      </c>
      <c r="F10" s="52">
        <f>'7月'!C30-'7月'!C29</f>
        <v>0</v>
      </c>
      <c r="G10" s="52">
        <f>'8月'!C30-'8月'!C29</f>
        <v>227295.4</v>
      </c>
      <c r="H10" s="52">
        <f>'9月'!C30-'9月'!C29</f>
        <v>227295.4</v>
      </c>
      <c r="I10" s="52">
        <f>'10月'!C30-'10月'!C29</f>
        <v>297743.1</v>
      </c>
      <c r="J10" s="52">
        <f>'11月'!C30-'11月'!C29</f>
        <v>297743.1</v>
      </c>
      <c r="K10" s="52">
        <f>'12月'!C30-'12月'!C29</f>
        <v>297743.1</v>
      </c>
      <c r="L10" s="52">
        <f>'1月'!C30-'1月'!C29</f>
        <v>297743.1</v>
      </c>
      <c r="M10" s="52">
        <f>'2月'!C30-'2月'!C29</f>
        <v>297743.1</v>
      </c>
      <c r="N10" s="52">
        <f>'3月'!C30-'3月'!C29</f>
        <v>297743.1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58" t="s">
        <v>233</v>
      </c>
      <c r="C11" s="52">
        <f>'4月'!C29</f>
        <v>0</v>
      </c>
      <c r="D11" s="52">
        <f>'5月'!C29</f>
        <v>0</v>
      </c>
      <c r="E11" s="52">
        <f>'6月'!C29</f>
        <v>14433.83333</v>
      </c>
      <c r="F11" s="52">
        <f>'7月'!C29</f>
        <v>14433.83333</v>
      </c>
      <c r="G11" s="52">
        <f>'8月'!C29</f>
        <v>14433.83333</v>
      </c>
      <c r="H11" s="52">
        <f>'9月'!C29</f>
        <v>14433.83333</v>
      </c>
      <c r="I11" s="52">
        <f>'10月'!C29</f>
        <v>14433.83333</v>
      </c>
      <c r="J11" s="52">
        <f>'11月'!C29</f>
        <v>14433.83333</v>
      </c>
      <c r="K11" s="52">
        <f>'12月'!C29</f>
        <v>14433.83333</v>
      </c>
      <c r="L11" s="52">
        <f>'1月'!C29</f>
        <v>14433.83333</v>
      </c>
      <c r="M11" s="52">
        <f>'2月'!C29</f>
        <v>14433.83333</v>
      </c>
      <c r="N11" s="52">
        <f>'3月'!C29</f>
        <v>14433.83333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58" t="s">
        <v>768</v>
      </c>
      <c r="C12" s="52">
        <f>'4月'!D54</f>
        <v>0</v>
      </c>
      <c r="D12" s="52">
        <f>'5月'!D54</f>
        <v>114000</v>
      </c>
      <c r="E12" s="52">
        <f>'6月'!D54</f>
        <v>1946388</v>
      </c>
      <c r="F12" s="52">
        <f>'7月'!D54</f>
        <v>455918</v>
      </c>
      <c r="G12" s="52">
        <f>'8月'!D54</f>
        <v>2800000</v>
      </c>
      <c r="H12" s="52">
        <f>'9月'!D54</f>
        <v>0</v>
      </c>
      <c r="I12" s="52">
        <f>'10月'!D54</f>
        <v>0</v>
      </c>
      <c r="J12" s="52">
        <f>'11月'!D54</f>
        <v>0</v>
      </c>
      <c r="K12" s="52">
        <f>'12月'!D54</f>
        <v>0</v>
      </c>
      <c r="L12" s="52">
        <f>'1月'!D54</f>
        <v>0</v>
      </c>
      <c r="M12" s="52">
        <f>'2月'!D54</f>
        <v>0</v>
      </c>
      <c r="N12" s="52">
        <f>'3月'!D54</f>
        <v>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357" t="s">
        <v>223</v>
      </c>
      <c r="C13" s="52">
        <f>'4月'!I39</f>
        <v>0</v>
      </c>
      <c r="D13" s="52">
        <f>'5月'!I39</f>
        <v>0</v>
      </c>
      <c r="E13" s="52">
        <f>'6月'!I39</f>
        <v>-14433.83333</v>
      </c>
      <c r="F13" s="52">
        <f>'7月'!I39</f>
        <v>-14433.83333</v>
      </c>
      <c r="G13" s="52">
        <f>'8月'!I39</f>
        <v>-241729.2333</v>
      </c>
      <c r="H13" s="52">
        <f>'9月'!I39</f>
        <v>-241729.2333</v>
      </c>
      <c r="I13" s="52">
        <f>'10月'!I39</f>
        <v>-312176.9333</v>
      </c>
      <c r="J13" s="52">
        <f>'11月'!I39</f>
        <v>-312176.9333</v>
      </c>
      <c r="K13" s="52">
        <f>'12月'!I39</f>
        <v>-312176.9333</v>
      </c>
      <c r="L13" s="52">
        <f>'1月'!I39</f>
        <v>-312176.9333</v>
      </c>
      <c r="M13" s="52">
        <f>'2月'!I39</f>
        <v>-312176.9333</v>
      </c>
      <c r="N13" s="52">
        <f>'3月'!I39</f>
        <v>-312176.9333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58" t="s">
        <v>226</v>
      </c>
      <c r="C14" s="96">
        <f t="shared" ref="C14:N14" si="3">IF(C6=0,0,C13/C6)</f>
        <v>0</v>
      </c>
      <c r="D14" s="96">
        <f t="shared" si="3"/>
        <v>0</v>
      </c>
      <c r="E14" s="96">
        <f t="shared" si="3"/>
        <v>0</v>
      </c>
      <c r="F14" s="96">
        <f t="shared" si="3"/>
        <v>0</v>
      </c>
      <c r="G14" s="96">
        <f t="shared" si="3"/>
        <v>0</v>
      </c>
      <c r="H14" s="96">
        <f t="shared" si="3"/>
        <v>0</v>
      </c>
      <c r="I14" s="96">
        <f t="shared" si="3"/>
        <v>0</v>
      </c>
      <c r="J14" s="96">
        <f t="shared" si="3"/>
        <v>0</v>
      </c>
      <c r="K14" s="96">
        <f t="shared" si="3"/>
        <v>0</v>
      </c>
      <c r="L14" s="96">
        <f t="shared" si="3"/>
        <v>0</v>
      </c>
      <c r="M14" s="96">
        <f t="shared" si="3"/>
        <v>0</v>
      </c>
      <c r="N14" s="96">
        <f t="shared" si="3"/>
        <v>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25" t="s">
        <v>769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02" t="s">
        <v>3</v>
      </c>
      <c r="C18" s="230" t="s">
        <v>468</v>
      </c>
      <c r="D18" s="230" t="s">
        <v>469</v>
      </c>
      <c r="E18" s="230" t="s">
        <v>470</v>
      </c>
      <c r="F18" s="230" t="s">
        <v>471</v>
      </c>
      <c r="G18" s="230" t="s">
        <v>98</v>
      </c>
      <c r="H18" s="230" t="s">
        <v>99</v>
      </c>
      <c r="I18" s="230" t="s">
        <v>100</v>
      </c>
      <c r="J18" s="230" t="s">
        <v>101</v>
      </c>
      <c r="K18" s="230" t="s">
        <v>102</v>
      </c>
      <c r="L18" s="230" t="s">
        <v>103</v>
      </c>
      <c r="M18" s="230" t="s">
        <v>104</v>
      </c>
      <c r="N18" s="230" t="s">
        <v>105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58" t="s">
        <v>267</v>
      </c>
      <c r="C19" s="52">
        <f>'4月'!I62</f>
        <v>0</v>
      </c>
      <c r="D19" s="52">
        <f>'5月'!I62</f>
        <v>0</v>
      </c>
      <c r="E19" s="52">
        <f>'6月'!I62</f>
        <v>0</v>
      </c>
      <c r="F19" s="52">
        <f>'7月'!I62</f>
        <v>0</v>
      </c>
      <c r="G19" s="52">
        <f>'8月'!I62</f>
        <v>-227295.4</v>
      </c>
      <c r="H19" s="52">
        <f>'9月'!I62</f>
        <v>-227295.4</v>
      </c>
      <c r="I19" s="52">
        <f>'10月'!I62</f>
        <v>-297743.1</v>
      </c>
      <c r="J19" s="52">
        <f>'11月'!I62</f>
        <v>-297743.1</v>
      </c>
      <c r="K19" s="52">
        <f>'12月'!I62</f>
        <v>-297743.1</v>
      </c>
      <c r="L19" s="52">
        <f>'1月'!I62</f>
        <v>-297743.1</v>
      </c>
      <c r="M19" s="52">
        <f>'2月'!I62</f>
        <v>-297743.1</v>
      </c>
      <c r="N19" s="52">
        <f>'3月'!I62</f>
        <v>-297743.1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58" t="s">
        <v>271</v>
      </c>
      <c r="C20" s="52">
        <f>'4月'!I65</f>
        <v>0</v>
      </c>
      <c r="D20" s="52">
        <f>'5月'!I65</f>
        <v>-114000</v>
      </c>
      <c r="E20" s="52">
        <f>'6月'!I65</f>
        <v>-1946388</v>
      </c>
      <c r="F20" s="52">
        <f>'7月'!I65</f>
        <v>-455918</v>
      </c>
      <c r="G20" s="52">
        <f>'8月'!I65</f>
        <v>-2800000</v>
      </c>
      <c r="H20" s="52">
        <f>'9月'!I65</f>
        <v>0</v>
      </c>
      <c r="I20" s="52">
        <f>'10月'!I65</f>
        <v>0</v>
      </c>
      <c r="J20" s="52">
        <f>'11月'!I65</f>
        <v>0</v>
      </c>
      <c r="K20" s="52">
        <f>'12月'!I65</f>
        <v>0</v>
      </c>
      <c r="L20" s="52">
        <f>'1月'!I65</f>
        <v>0</v>
      </c>
      <c r="M20" s="52">
        <f>'2月'!I65</f>
        <v>0</v>
      </c>
      <c r="N20" s="52">
        <f>'3月'!I65</f>
        <v>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58" t="s">
        <v>274</v>
      </c>
      <c r="C21" s="52" t="str">
        <f>'4月'!I68</f>
        <v/>
      </c>
      <c r="D21" s="52" t="str">
        <f>'5月'!I68</f>
        <v/>
      </c>
      <c r="E21" s="52" t="str">
        <f>'6月'!I68</f>
        <v/>
      </c>
      <c r="F21" s="52">
        <f>'7月'!I68</f>
        <v>3500000</v>
      </c>
      <c r="G21" s="52" t="str">
        <f>'8月'!I68</f>
        <v/>
      </c>
      <c r="H21" s="52">
        <f>'9月'!I68</f>
        <v>1000000</v>
      </c>
      <c r="I21" s="52" t="str">
        <f>'10月'!I68</f>
        <v/>
      </c>
      <c r="J21" s="52" t="str">
        <f>'11月'!I68</f>
        <v/>
      </c>
      <c r="K21" s="52" t="str">
        <f>'12月'!I68</f>
        <v/>
      </c>
      <c r="L21" s="52" t="str">
        <f>'1月'!I68</f>
        <v/>
      </c>
      <c r="M21" s="52" t="str">
        <f>'2月'!I68</f>
        <v/>
      </c>
      <c r="N21" s="52" t="str">
        <f>'3月'!I68</f>
        <v/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358" t="s">
        <v>770</v>
      </c>
      <c r="C22" s="130">
        <f>'4月'!I75</f>
        <v>0</v>
      </c>
      <c r="D22" s="130">
        <f>'5月'!I75</f>
        <v>2886000</v>
      </c>
      <c r="E22" s="130">
        <f>'6月'!I75</f>
        <v>939612</v>
      </c>
      <c r="F22" s="130">
        <f>'7月'!I75</f>
        <v>3983694</v>
      </c>
      <c r="G22" s="130">
        <f>'8月'!I75</f>
        <v>956398.6</v>
      </c>
      <c r="H22" s="130">
        <f>'9月'!I75</f>
        <v>1729103.2</v>
      </c>
      <c r="I22" s="130">
        <f>'10月'!I75</f>
        <v>1431360.1</v>
      </c>
      <c r="J22" s="130">
        <f>'11月'!I75</f>
        <v>1133617</v>
      </c>
      <c r="K22" s="130">
        <f>'12月'!I75</f>
        <v>835873.9</v>
      </c>
      <c r="L22" s="130">
        <f>'1月'!I75</f>
        <v>538130.8</v>
      </c>
      <c r="M22" s="130">
        <f>'2月'!I75</f>
        <v>240387.7</v>
      </c>
      <c r="N22" s="130">
        <f>'3月'!I75</f>
        <v>-57355.4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359" t="s">
        <v>771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02" t="s">
        <v>3</v>
      </c>
      <c r="C26" s="230" t="s">
        <v>468</v>
      </c>
      <c r="D26" s="230" t="s">
        <v>469</v>
      </c>
      <c r="E26" s="230" t="s">
        <v>470</v>
      </c>
      <c r="F26" s="230" t="s">
        <v>471</v>
      </c>
      <c r="G26" s="230" t="s">
        <v>98</v>
      </c>
      <c r="H26" s="230" t="s">
        <v>99</v>
      </c>
      <c r="I26" s="230" t="s">
        <v>100</v>
      </c>
      <c r="J26" s="230" t="s">
        <v>101</v>
      </c>
      <c r="K26" s="230" t="s">
        <v>102</v>
      </c>
      <c r="L26" s="230" t="s">
        <v>103</v>
      </c>
      <c r="M26" s="230" t="s">
        <v>104</v>
      </c>
      <c r="N26" s="230" t="s">
        <v>105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58" t="s">
        <v>219</v>
      </c>
      <c r="C27" s="360">
        <f>'4月'!H24</f>
        <v>0</v>
      </c>
      <c r="D27" s="360">
        <f>'5月'!H24</f>
        <v>0</v>
      </c>
      <c r="E27" s="360">
        <f>'6月'!H24</f>
        <v>0</v>
      </c>
      <c r="F27" s="360">
        <f>'7月'!H24</f>
        <v>0</v>
      </c>
      <c r="G27" s="360">
        <f>'8月'!H24</f>
        <v>0</v>
      </c>
      <c r="H27" s="360">
        <f>'9月'!H24</f>
        <v>0</v>
      </c>
      <c r="I27" s="360">
        <f>'10月'!H24</f>
        <v>0</v>
      </c>
      <c r="J27" s="360">
        <f>'11月'!H24</f>
        <v>0</v>
      </c>
      <c r="K27" s="360">
        <f>'12月'!H24</f>
        <v>0</v>
      </c>
      <c r="L27" s="360">
        <f>'1月'!H24</f>
        <v>0</v>
      </c>
      <c r="M27" s="360">
        <f>'2月'!H24</f>
        <v>0</v>
      </c>
      <c r="N27" s="360">
        <f>'3月'!H24</f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8" t="s">
        <v>173</v>
      </c>
      <c r="C28" s="52">
        <f>'4月'!H25</f>
        <v>0</v>
      </c>
      <c r="D28" s="52">
        <f>'5月'!H25</f>
        <v>0</v>
      </c>
      <c r="E28" s="52">
        <f>'6月'!H25</f>
        <v>0</v>
      </c>
      <c r="F28" s="52">
        <f>'7月'!H25</f>
        <v>0</v>
      </c>
      <c r="G28" s="52">
        <f>'8月'!H25</f>
        <v>0</v>
      </c>
      <c r="H28" s="52">
        <f>'9月'!H25</f>
        <v>0</v>
      </c>
      <c r="I28" s="52">
        <f>'10月'!H25</f>
        <v>0</v>
      </c>
      <c r="J28" s="52">
        <f>'11月'!H25</f>
        <v>0</v>
      </c>
      <c r="K28" s="52">
        <f>'12月'!H25</f>
        <v>0</v>
      </c>
      <c r="L28" s="52">
        <f>'1月'!H25</f>
        <v>0</v>
      </c>
      <c r="M28" s="52">
        <f>'2月'!H25</f>
        <v>0</v>
      </c>
      <c r="N28" s="52">
        <f>'3月'!H25</f>
        <v>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58" t="s">
        <v>225</v>
      </c>
      <c r="C29" s="360">
        <f>'4月'!H26</f>
        <v>0</v>
      </c>
      <c r="D29" s="360">
        <f>'5月'!H26</f>
        <v>0</v>
      </c>
      <c r="E29" s="360">
        <f>'6月'!H26</f>
        <v>0</v>
      </c>
      <c r="F29" s="360">
        <f>'7月'!H26</f>
        <v>0</v>
      </c>
      <c r="G29" s="360">
        <f>'8月'!H26</f>
        <v>31</v>
      </c>
      <c r="H29" s="360">
        <f>'9月'!H26</f>
        <v>30</v>
      </c>
      <c r="I29" s="360">
        <f>'10月'!H26</f>
        <v>31</v>
      </c>
      <c r="J29" s="360">
        <f>'11月'!H26</f>
        <v>30</v>
      </c>
      <c r="K29" s="360">
        <f>'12月'!H26</f>
        <v>31</v>
      </c>
      <c r="L29" s="360">
        <f>'1月'!H26</f>
        <v>31</v>
      </c>
      <c r="M29" s="360">
        <f>'2月'!H26</f>
        <v>28</v>
      </c>
      <c r="N29" s="360">
        <f>'3月'!H26</f>
        <v>31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58" t="s">
        <v>772</v>
      </c>
      <c r="C30" s="52">
        <f>'4月'!H27</f>
        <v>0</v>
      </c>
      <c r="D30" s="52">
        <f>'5月'!H27</f>
        <v>0</v>
      </c>
      <c r="E30" s="52">
        <f>'6月'!H27</f>
        <v>0</v>
      </c>
      <c r="F30" s="52">
        <f>'7月'!H27</f>
        <v>0</v>
      </c>
      <c r="G30" s="52">
        <f>'8月'!H27</f>
        <v>0</v>
      </c>
      <c r="H30" s="52">
        <f>'9月'!H27</f>
        <v>0</v>
      </c>
      <c r="I30" s="52">
        <f>'10月'!H27</f>
        <v>0</v>
      </c>
      <c r="J30" s="52">
        <f>'11月'!H27</f>
        <v>0</v>
      </c>
      <c r="K30" s="52">
        <f>'12月'!H27</f>
        <v>0</v>
      </c>
      <c r="L30" s="52">
        <f>'1月'!H27</f>
        <v>0</v>
      </c>
      <c r="M30" s="52">
        <f>'2月'!H27</f>
        <v>0</v>
      </c>
      <c r="N30" s="52">
        <f>'3月'!H27</f>
        <v>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58" t="s">
        <v>179</v>
      </c>
      <c r="C31" s="361">
        <f>'4月'!H28</f>
        <v>0</v>
      </c>
      <c r="D31" s="361">
        <f>'5月'!H28</f>
        <v>0</v>
      </c>
      <c r="E31" s="361">
        <f>'6月'!H28</f>
        <v>0</v>
      </c>
      <c r="F31" s="361">
        <f>'7月'!H28</f>
        <v>0</v>
      </c>
      <c r="G31" s="361">
        <f>'8月'!H28</f>
        <v>0</v>
      </c>
      <c r="H31" s="361">
        <f>'9月'!H28</f>
        <v>0</v>
      </c>
      <c r="I31" s="361">
        <f>'10月'!H28</f>
        <v>0</v>
      </c>
      <c r="J31" s="361">
        <f>'11月'!H28</f>
        <v>0</v>
      </c>
      <c r="K31" s="361">
        <f>'12月'!H28</f>
        <v>0</v>
      </c>
      <c r="L31" s="361">
        <f>'1月'!H28</f>
        <v>0</v>
      </c>
      <c r="M31" s="361">
        <f>'2月'!H28</f>
        <v>0</v>
      </c>
      <c r="N31" s="361">
        <f>'3月'!H28</f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58" t="s">
        <v>139</v>
      </c>
      <c r="C32" s="52">
        <f>'4月'!C16+SUM('4月'!C20:C28)+'4月'!D54</f>
        <v>0</v>
      </c>
      <c r="D32" s="52">
        <f>'5月'!C16+SUM('5月'!C20:C28)+'5月'!D54</f>
        <v>114000</v>
      </c>
      <c r="E32" s="52">
        <f>'6月'!C16+SUM('6月'!C20:C28)+'6月'!D54</f>
        <v>1946388</v>
      </c>
      <c r="F32" s="52">
        <f>'7月'!C16+SUM('7月'!C20:C28)+'7月'!D54</f>
        <v>455918</v>
      </c>
      <c r="G32" s="52">
        <f>'8月'!C16+SUM('8月'!C20:C28)+'8月'!D54</f>
        <v>3027295.4</v>
      </c>
      <c r="H32" s="52">
        <f>'9月'!C16+SUM('9月'!C20:C28)+'9月'!D54</f>
        <v>227295.4</v>
      </c>
      <c r="I32" s="52">
        <f>'10月'!C16+SUM('10月'!C20:C28)+'10月'!D54</f>
        <v>297743.1</v>
      </c>
      <c r="J32" s="52">
        <f>'11月'!C16+SUM('11月'!C20:C28)+'11月'!D54</f>
        <v>297743.1</v>
      </c>
      <c r="K32" s="52">
        <f>'12月'!C16+SUM('12月'!C20:C28)+'12月'!D54</f>
        <v>297743.1</v>
      </c>
      <c r="L32" s="52">
        <f>'1月'!C16+SUM('1月'!C20:C28)+'1月'!D54</f>
        <v>297743.1</v>
      </c>
      <c r="M32" s="52">
        <f>'2月'!C16+SUM('2月'!C20:C28)+'2月'!D54</f>
        <v>297743.1</v>
      </c>
      <c r="N32" s="52">
        <f>'3月'!C16+SUM('3月'!C20:C28)+'3月'!D54</f>
        <v>297743.1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8" t="s">
        <v>600</v>
      </c>
      <c r="C33" s="52">
        <f>'4月'!C24</f>
        <v>0</v>
      </c>
      <c r="D33" s="52">
        <f>'5月'!C24</f>
        <v>0</v>
      </c>
      <c r="E33" s="52">
        <f>'6月'!C24</f>
        <v>0</v>
      </c>
      <c r="F33" s="52" t="str">
        <f>'7月'!C24</f>
        <v/>
      </c>
      <c r="G33" s="52">
        <f>'8月'!C24</f>
        <v>227295.4</v>
      </c>
      <c r="H33" s="52">
        <f>'9月'!C24</f>
        <v>227295.4</v>
      </c>
      <c r="I33" s="52">
        <f>'10月'!C24</f>
        <v>297743.1</v>
      </c>
      <c r="J33" s="52">
        <f>'11月'!C24</f>
        <v>297743.1</v>
      </c>
      <c r="K33" s="52">
        <f>'12月'!C24</f>
        <v>297743.1</v>
      </c>
      <c r="L33" s="52">
        <f>'1月'!C24</f>
        <v>297743.1</v>
      </c>
      <c r="M33" s="52">
        <f>'2月'!C24</f>
        <v>297743.1</v>
      </c>
      <c r="N33" s="52">
        <f>'3月'!C24</f>
        <v>297743.1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58" t="s">
        <v>235</v>
      </c>
      <c r="C34" s="96">
        <f t="shared" ref="C34:N34" si="4">IF(C27=0,0,C33/C27)</f>
        <v>0</v>
      </c>
      <c r="D34" s="96">
        <f t="shared" si="4"/>
        <v>0</v>
      </c>
      <c r="E34" s="96">
        <f t="shared" si="4"/>
        <v>0</v>
      </c>
      <c r="F34" s="96">
        <f t="shared" si="4"/>
        <v>0</v>
      </c>
      <c r="G34" s="96">
        <f t="shared" si="4"/>
        <v>0</v>
      </c>
      <c r="H34" s="96">
        <f t="shared" si="4"/>
        <v>0</v>
      </c>
      <c r="I34" s="96">
        <f t="shared" si="4"/>
        <v>0</v>
      </c>
      <c r="J34" s="96">
        <f t="shared" si="4"/>
        <v>0</v>
      </c>
      <c r="K34" s="96">
        <f t="shared" si="4"/>
        <v>0</v>
      </c>
      <c r="L34" s="96">
        <f t="shared" si="4"/>
        <v>0</v>
      </c>
      <c r="M34" s="96">
        <f t="shared" si="4"/>
        <v>0</v>
      </c>
      <c r="N34" s="96">
        <f t="shared" si="4"/>
        <v>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55" t="s">
        <v>773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2" t="s">
        <v>3</v>
      </c>
      <c r="C38" s="230" t="s">
        <v>468</v>
      </c>
      <c r="D38" s="230" t="s">
        <v>469</v>
      </c>
      <c r="E38" s="230" t="s">
        <v>470</v>
      </c>
      <c r="F38" s="230" t="s">
        <v>471</v>
      </c>
      <c r="G38" s="230" t="s">
        <v>98</v>
      </c>
      <c r="H38" s="230" t="s">
        <v>99</v>
      </c>
      <c r="I38" s="230" t="s">
        <v>100</v>
      </c>
      <c r="J38" s="230" t="s">
        <v>101</v>
      </c>
      <c r="K38" s="230" t="s">
        <v>102</v>
      </c>
      <c r="L38" s="230" t="s">
        <v>103</v>
      </c>
      <c r="M38" s="230" t="s">
        <v>104</v>
      </c>
      <c r="N38" s="230" t="s">
        <v>105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58" t="s">
        <v>774</v>
      </c>
      <c r="C39" s="362">
        <v>0.0</v>
      </c>
      <c r="D39" s="65">
        <f t="shared" ref="D39:N39" si="5">D6-C6</f>
        <v>0</v>
      </c>
      <c r="E39" s="65">
        <f t="shared" si="5"/>
        <v>0</v>
      </c>
      <c r="F39" s="65">
        <f t="shared" si="5"/>
        <v>0</v>
      </c>
      <c r="G39" s="65">
        <f t="shared" si="5"/>
        <v>0</v>
      </c>
      <c r="H39" s="65">
        <f t="shared" si="5"/>
        <v>0</v>
      </c>
      <c r="I39" s="65">
        <f t="shared" si="5"/>
        <v>0</v>
      </c>
      <c r="J39" s="65">
        <f t="shared" si="5"/>
        <v>0</v>
      </c>
      <c r="K39" s="65">
        <f t="shared" si="5"/>
        <v>0</v>
      </c>
      <c r="L39" s="65">
        <f t="shared" si="5"/>
        <v>0</v>
      </c>
      <c r="M39" s="65">
        <f t="shared" si="5"/>
        <v>0</v>
      </c>
      <c r="N39" s="65">
        <f t="shared" si="5"/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58" t="s">
        <v>775</v>
      </c>
      <c r="C40" s="362">
        <v>0.0</v>
      </c>
      <c r="D40" s="65">
        <f t="shared" ref="D40:N40" si="6">D22-C22</f>
        <v>2886000</v>
      </c>
      <c r="E40" s="65">
        <f t="shared" si="6"/>
        <v>-1946388</v>
      </c>
      <c r="F40" s="65">
        <f t="shared" si="6"/>
        <v>3044082</v>
      </c>
      <c r="G40" s="65">
        <f t="shared" si="6"/>
        <v>-3027295.4</v>
      </c>
      <c r="H40" s="65">
        <f t="shared" si="6"/>
        <v>772704.6</v>
      </c>
      <c r="I40" s="65">
        <f t="shared" si="6"/>
        <v>-297743.1</v>
      </c>
      <c r="J40" s="65">
        <f t="shared" si="6"/>
        <v>-297743.1</v>
      </c>
      <c r="K40" s="65">
        <f t="shared" si="6"/>
        <v>-297743.1</v>
      </c>
      <c r="L40" s="65">
        <f t="shared" si="6"/>
        <v>-297743.1</v>
      </c>
      <c r="M40" s="65">
        <f t="shared" si="6"/>
        <v>-297743.1</v>
      </c>
      <c r="N40" s="65">
        <f t="shared" si="6"/>
        <v>-297743.1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N1"/>
    <mergeCell ref="B4:N4"/>
    <mergeCell ref="B17:N17"/>
    <mergeCell ref="B25:N25"/>
    <mergeCell ref="B37:N37"/>
  </mergeCells>
  <printOptions/>
  <pageMargins bottom="1.0" footer="0.0" header="0.0" left="0.75" right="0.75" top="1.0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2828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24.0"/>
    <col customWidth="1" min="3" max="4" width="16.0"/>
    <col customWidth="1" min="5" max="5" width="3.0"/>
    <col customWidth="1" min="6" max="6" width="24.0"/>
    <col customWidth="1" min="7" max="8" width="16.0"/>
  </cols>
  <sheetData>
    <row r="1" ht="17.25" customHeight="1">
      <c r="A1" s="1"/>
      <c r="B1" s="44" t="s">
        <v>776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5" t="s">
        <v>777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75" t="s">
        <v>778</v>
      </c>
      <c r="C4" s="46"/>
      <c r="D4" s="46"/>
      <c r="E4" s="1"/>
      <c r="F4" s="53" t="s">
        <v>779</v>
      </c>
      <c r="G4" s="46"/>
      <c r="H4" s="4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02" t="s">
        <v>3</v>
      </c>
      <c r="C5" s="102" t="s">
        <v>133</v>
      </c>
      <c r="D5" s="102" t="s">
        <v>780</v>
      </c>
      <c r="E5" s="1"/>
      <c r="F5" s="102" t="s">
        <v>212</v>
      </c>
      <c r="G5" s="102" t="s">
        <v>213</v>
      </c>
      <c r="H5" s="102" t="s">
        <v>214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58" t="s">
        <v>173</v>
      </c>
      <c r="C6" s="363">
        <f>IF('売上計画'!O40=0,1175,'売上計画'!O45/'売上計画'!O40)</f>
        <v>1289.35167</v>
      </c>
      <c r="D6" s="94" t="s">
        <v>781</v>
      </c>
      <c r="E6" s="1"/>
      <c r="F6" s="364" t="s">
        <v>782</v>
      </c>
      <c r="G6" s="365">
        <f>IF(C8=0,0,C9/(1-C8))</f>
        <v>20684.85119</v>
      </c>
      <c r="H6" s="94" t="s">
        <v>783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58" t="s">
        <v>784</v>
      </c>
      <c r="C7" s="366">
        <v>0.7</v>
      </c>
      <c r="D7" s="94" t="s">
        <v>785</v>
      </c>
      <c r="E7" s="1"/>
      <c r="F7" s="364" t="s">
        <v>786</v>
      </c>
      <c r="G7" s="365">
        <f>IF(C10=0,0,G6/C10)</f>
        <v>689.4950397</v>
      </c>
      <c r="H7" s="94" t="s">
        <v>787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58" t="s">
        <v>788</v>
      </c>
      <c r="C8" s="367">
        <f>'売上計画'!$C$9</f>
        <v>0.3</v>
      </c>
      <c r="D8" s="94" t="s">
        <v>789</v>
      </c>
      <c r="E8" s="1"/>
      <c r="F8" s="364" t="s">
        <v>790</v>
      </c>
      <c r="G8" s="368">
        <f>IF(C6=0,0,G7/C6)</f>
        <v>0.5347610398</v>
      </c>
      <c r="H8" s="94" t="s">
        <v>791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58" t="s">
        <v>792</v>
      </c>
      <c r="C9" s="369">
        <f>C21</f>
        <v>14479.39583</v>
      </c>
      <c r="D9" s="94" t="s">
        <v>793</v>
      </c>
      <c r="E9" s="1"/>
      <c r="F9" s="364" t="s">
        <v>794</v>
      </c>
      <c r="G9" s="368">
        <f>IF(C6=0,0,G6/C6)</f>
        <v>16.04283119</v>
      </c>
      <c r="H9" s="94" t="s">
        <v>795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58" t="s">
        <v>796</v>
      </c>
      <c r="C10" s="370">
        <f>'売上計画'!$C$7</f>
        <v>30</v>
      </c>
      <c r="D10" s="94" t="s">
        <v>797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364" t="s">
        <v>798</v>
      </c>
      <c r="G11" s="237"/>
      <c r="H11" s="94" t="s">
        <v>799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77" t="s">
        <v>800</v>
      </c>
      <c r="C12" s="46"/>
      <c r="D12" s="4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02" t="s">
        <v>3</v>
      </c>
      <c r="C13" s="102" t="s">
        <v>191</v>
      </c>
      <c r="D13" s="102" t="s">
        <v>148</v>
      </c>
      <c r="E13" s="1"/>
      <c r="F13" s="85" t="s">
        <v>801</v>
      </c>
      <c r="G13" s="46"/>
      <c r="H13" s="4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58" t="s">
        <v>201</v>
      </c>
      <c r="C14" s="363">
        <f>'8月'!C20</f>
        <v>0</v>
      </c>
      <c r="D14" s="200"/>
      <c r="E14" s="1"/>
      <c r="F14" s="95" t="s">
        <v>802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58" t="s">
        <v>600</v>
      </c>
      <c r="C15" s="363">
        <f>IF('売上計画'!$O$45=0,0,'売上計画'!$O$54/COUNTIF('売上計画'!$C$45:$N$45,"&gt;0"))</f>
        <v>45.5625</v>
      </c>
      <c r="D15" s="327" t="s">
        <v>803</v>
      </c>
      <c r="E15" s="1"/>
      <c r="F15" s="102" t="s">
        <v>804</v>
      </c>
      <c r="G15" s="102" t="s">
        <v>805</v>
      </c>
      <c r="H15" s="102" t="s">
        <v>806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58" t="s">
        <v>206</v>
      </c>
      <c r="C16" s="363">
        <f>'8月'!C21</f>
        <v>0</v>
      </c>
      <c r="D16" s="200"/>
      <c r="E16" s="1"/>
      <c r="F16" s="93">
        <v>500000.0</v>
      </c>
      <c r="G16" s="65">
        <f t="shared" ref="G16:G22" si="1">F16*(1-$C$8)-$C$9</f>
        <v>335520.6042</v>
      </c>
      <c r="H16" s="198" t="str">
        <f t="shared" ref="H16:H22" si="2">IF(G16&gt;0,"✅ 黒字","❌ 赤字")</f>
        <v>✅ 黒字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58" t="s">
        <v>209</v>
      </c>
      <c r="C17" s="363">
        <f>'8月'!C22</f>
        <v>0</v>
      </c>
      <c r="D17" s="200"/>
      <c r="E17" s="1"/>
      <c r="F17" s="76">
        <v>700000.0</v>
      </c>
      <c r="G17" s="65">
        <f t="shared" si="1"/>
        <v>475520.6042</v>
      </c>
      <c r="H17" s="198" t="str">
        <f t="shared" si="2"/>
        <v>✅ 黒字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58" t="s">
        <v>211</v>
      </c>
      <c r="C18" s="363">
        <f>'8月'!C23</f>
        <v>0</v>
      </c>
      <c r="D18" s="200"/>
      <c r="E18" s="1"/>
      <c r="F18" s="93">
        <v>900000.0</v>
      </c>
      <c r="G18" s="65">
        <f t="shared" si="1"/>
        <v>615520.6042</v>
      </c>
      <c r="H18" s="198" t="str">
        <f t="shared" si="2"/>
        <v>✅ 黒字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58" t="s">
        <v>233</v>
      </c>
      <c r="C19" s="363">
        <f>'固定資産台帳'!J26</f>
        <v>14433.83333</v>
      </c>
      <c r="D19" s="200"/>
      <c r="E19" s="1"/>
      <c r="F19" s="76">
        <v>1000000.0</v>
      </c>
      <c r="G19" s="65">
        <f t="shared" si="1"/>
        <v>685520.6042</v>
      </c>
      <c r="H19" s="198" t="str">
        <f t="shared" si="2"/>
        <v>✅ 黒字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58" t="s">
        <v>807</v>
      </c>
      <c r="C20" s="371">
        <v>0.0</v>
      </c>
      <c r="D20" s="200"/>
      <c r="E20" s="1"/>
      <c r="F20" s="93">
        <v>1200000.0</v>
      </c>
      <c r="G20" s="65">
        <f t="shared" si="1"/>
        <v>825520.6042</v>
      </c>
      <c r="H20" s="198" t="str">
        <f t="shared" si="2"/>
        <v>✅ 黒字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72" t="s">
        <v>808</v>
      </c>
      <c r="C21" s="73">
        <f>SUM(C14:C20)</f>
        <v>14479.39583</v>
      </c>
      <c r="D21" s="133" t="s">
        <v>809</v>
      </c>
      <c r="E21" s="1"/>
      <c r="F21" s="76">
        <v>1500000.0</v>
      </c>
      <c r="G21" s="65">
        <f t="shared" si="1"/>
        <v>1035520.604</v>
      </c>
      <c r="H21" s="198" t="str">
        <f t="shared" si="2"/>
        <v>✅ 黒字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"/>
      <c r="C22" s="1"/>
      <c r="D22" s="1"/>
      <c r="E22" s="1"/>
      <c r="F22" s="93">
        <v>2000000.0</v>
      </c>
      <c r="G22" s="65">
        <f t="shared" si="1"/>
        <v>1385520.604</v>
      </c>
      <c r="H22" s="198" t="str">
        <f t="shared" si="2"/>
        <v>✅ 黒字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"/>
      <c r="C24" s="1"/>
      <c r="D24" s="1"/>
      <c r="E24" s="1"/>
      <c r="F24" s="77" t="s">
        <v>810</v>
      </c>
      <c r="G24" s="46"/>
      <c r="H24" s="4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"/>
      <c r="C25" s="1"/>
      <c r="D25" s="1"/>
      <c r="E25" s="1"/>
      <c r="F25" s="102" t="s">
        <v>173</v>
      </c>
      <c r="G25" s="102" t="s">
        <v>811</v>
      </c>
      <c r="H25" s="102" t="s">
        <v>812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"/>
      <c r="C26" s="1"/>
      <c r="D26" s="1"/>
      <c r="E26" s="1"/>
      <c r="F26" s="93">
        <v>500.0</v>
      </c>
      <c r="G26" s="372">
        <f>IF(F26=0,0,G6/F26)</f>
        <v>41.36970238</v>
      </c>
      <c r="H26" s="373">
        <f t="shared" ref="H26:H33" si="3">G26*$C$10</f>
        <v>1241.091071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"/>
      <c r="C27" s="1"/>
      <c r="D27" s="1"/>
      <c r="E27" s="1"/>
      <c r="F27" s="76">
        <v>600.0</v>
      </c>
      <c r="G27" s="372">
        <f>IF(F27=0,0,G6/F27)</f>
        <v>34.47475198</v>
      </c>
      <c r="H27" s="373">
        <f t="shared" si="3"/>
        <v>1034.24256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"/>
      <c r="C28" s="1"/>
      <c r="D28" s="1"/>
      <c r="E28" s="1"/>
      <c r="F28" s="93">
        <v>700.0</v>
      </c>
      <c r="G28" s="372">
        <f>IF(F28=0,0,G6/F28)</f>
        <v>29.54978741</v>
      </c>
      <c r="H28" s="373">
        <f t="shared" si="3"/>
        <v>886.4936224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"/>
      <c r="C29" s="1"/>
      <c r="D29" s="1"/>
      <c r="E29" s="1"/>
      <c r="F29" s="76">
        <v>800.0</v>
      </c>
      <c r="G29" s="372">
        <f>IF(F29=0,0,G6/F29)</f>
        <v>25.85606399</v>
      </c>
      <c r="H29" s="373">
        <f t="shared" si="3"/>
        <v>775.6819196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"/>
      <c r="C30" s="1"/>
      <c r="D30" s="1"/>
      <c r="E30" s="1"/>
      <c r="F30" s="93">
        <v>900.0</v>
      </c>
      <c r="G30" s="372">
        <f>IF(F30=0,0,G6/F30)</f>
        <v>22.98316799</v>
      </c>
      <c r="H30" s="373">
        <f t="shared" si="3"/>
        <v>689.4950397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"/>
      <c r="C31" s="1"/>
      <c r="D31" s="1"/>
      <c r="E31" s="1"/>
      <c r="F31" s="76">
        <v>1000.0</v>
      </c>
      <c r="G31" s="372">
        <f>IF(F31=0,0,G6/F31)</f>
        <v>20.68485119</v>
      </c>
      <c r="H31" s="373">
        <f t="shared" si="3"/>
        <v>620.5455357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"/>
      <c r="C32" s="1"/>
      <c r="D32" s="1"/>
      <c r="E32" s="1"/>
      <c r="F32" s="93">
        <v>1200.0</v>
      </c>
      <c r="G32" s="372">
        <f>IF(F32=0,0,G6/F32)</f>
        <v>17.23737599</v>
      </c>
      <c r="H32" s="373">
        <f t="shared" si="3"/>
        <v>517.1212798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"/>
      <c r="C33" s="1"/>
      <c r="D33" s="1"/>
      <c r="E33" s="1"/>
      <c r="F33" s="76">
        <v>1500.0</v>
      </c>
      <c r="G33" s="372">
        <f>IF(F33=0,0,G6/F33)</f>
        <v>13.78990079</v>
      </c>
      <c r="H33" s="373">
        <f t="shared" si="3"/>
        <v>413.6970238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D1"/>
    <mergeCell ref="B4:D4"/>
    <mergeCell ref="F4:H4"/>
    <mergeCell ref="B12:D12"/>
    <mergeCell ref="F13:H13"/>
    <mergeCell ref="F24:H24"/>
  </mergeCells>
  <printOptions/>
  <pageMargins bottom="1.0" footer="0.0" header="0.0" left="0.75" right="0.75" top="1.0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18.0"/>
    <col customWidth="1" min="3" max="14" width="14.0"/>
    <col customWidth="1" min="15" max="15" width="16.0"/>
  </cols>
  <sheetData>
    <row r="1" ht="17.25" customHeight="1">
      <c r="A1" s="1"/>
      <c r="B1" s="44" t="s">
        <v>813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56" t="s">
        <v>3</v>
      </c>
      <c r="C3" s="183" t="s">
        <v>468</v>
      </c>
      <c r="D3" s="183" t="s">
        <v>469</v>
      </c>
      <c r="E3" s="183" t="s">
        <v>470</v>
      </c>
      <c r="F3" s="183" t="s">
        <v>471</v>
      </c>
      <c r="G3" s="183" t="s">
        <v>98</v>
      </c>
      <c r="H3" s="183" t="s">
        <v>99</v>
      </c>
      <c r="I3" s="183" t="s">
        <v>100</v>
      </c>
      <c r="J3" s="183" t="s">
        <v>101</v>
      </c>
      <c r="K3" s="183" t="s">
        <v>102</v>
      </c>
      <c r="L3" s="183" t="s">
        <v>103</v>
      </c>
      <c r="M3" s="183" t="s">
        <v>104</v>
      </c>
      <c r="N3" s="183" t="s">
        <v>105</v>
      </c>
      <c r="O3" s="56" t="s">
        <v>106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06" t="s">
        <v>814</v>
      </c>
      <c r="C4" s="52">
        <f>'4月'!C7</f>
        <v>0</v>
      </c>
      <c r="D4" s="52">
        <f>'5月'!C7</f>
        <v>3000000</v>
      </c>
      <c r="E4" s="52">
        <f>'6月'!C7</f>
        <v>2886000</v>
      </c>
      <c r="F4" s="52">
        <f>'7月'!C7</f>
        <v>4439612</v>
      </c>
      <c r="G4" s="52">
        <f>'8月'!C7</f>
        <v>3983694</v>
      </c>
      <c r="H4" s="52">
        <f>'9月'!C7</f>
        <v>1956398.6</v>
      </c>
      <c r="I4" s="52">
        <f>'10月'!C7</f>
        <v>1729103.2</v>
      </c>
      <c r="J4" s="52">
        <f>'11月'!C7</f>
        <v>1431360.1</v>
      </c>
      <c r="K4" s="52">
        <f>'12月'!C7</f>
        <v>1133617</v>
      </c>
      <c r="L4" s="52">
        <f>'1月'!C7</f>
        <v>835873.9</v>
      </c>
      <c r="M4" s="52">
        <f>'2月'!C7</f>
        <v>538130.8</v>
      </c>
      <c r="N4" s="52">
        <f>'3月'!C7</f>
        <v>240387.7</v>
      </c>
      <c r="O4" s="374">
        <f>C4</f>
        <v>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06" t="s">
        <v>246</v>
      </c>
      <c r="C5" s="52">
        <f>'4月'!H20</f>
        <v>0</v>
      </c>
      <c r="D5" s="52">
        <f>'5月'!H20</f>
        <v>0</v>
      </c>
      <c r="E5" s="52">
        <f>'6月'!H20</f>
        <v>0</v>
      </c>
      <c r="F5" s="52">
        <f>'7月'!H20</f>
        <v>0</v>
      </c>
      <c r="G5" s="52">
        <f>'8月'!H20</f>
        <v>0</v>
      </c>
      <c r="H5" s="52">
        <f>'9月'!H20</f>
        <v>0</v>
      </c>
      <c r="I5" s="52">
        <f>'10月'!H20</f>
        <v>0</v>
      </c>
      <c r="J5" s="52">
        <f>'11月'!H20</f>
        <v>0</v>
      </c>
      <c r="K5" s="52">
        <f>'12月'!H20</f>
        <v>0</v>
      </c>
      <c r="L5" s="52">
        <f>'1月'!H20</f>
        <v>0</v>
      </c>
      <c r="M5" s="52">
        <f>'2月'!H20</f>
        <v>0</v>
      </c>
      <c r="N5" s="52">
        <f>'3月'!H20</f>
        <v>0</v>
      </c>
      <c r="O5" s="374">
        <f t="shared" ref="O5:O7" si="1">SUM(C5:N5)</f>
        <v>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06" t="s">
        <v>183</v>
      </c>
      <c r="C6" s="52">
        <f>'4月'!C16</f>
        <v>0</v>
      </c>
      <c r="D6" s="52">
        <f>'5月'!C16</f>
        <v>0</v>
      </c>
      <c r="E6" s="52">
        <f>'6月'!C16</f>
        <v>0</v>
      </c>
      <c r="F6" s="52">
        <f>'7月'!C16</f>
        <v>0</v>
      </c>
      <c r="G6" s="52">
        <f>'8月'!C16</f>
        <v>0</v>
      </c>
      <c r="H6" s="52">
        <f>'9月'!C16</f>
        <v>0</v>
      </c>
      <c r="I6" s="52">
        <f>'10月'!C16</f>
        <v>0</v>
      </c>
      <c r="J6" s="52">
        <f>'11月'!C16</f>
        <v>0</v>
      </c>
      <c r="K6" s="52">
        <f>'12月'!C16</f>
        <v>0</v>
      </c>
      <c r="L6" s="52">
        <f>'1月'!C16</f>
        <v>0</v>
      </c>
      <c r="M6" s="52">
        <f>'2月'!C16</f>
        <v>0</v>
      </c>
      <c r="N6" s="52">
        <f>'3月'!C16</f>
        <v>0</v>
      </c>
      <c r="O6" s="374">
        <f t="shared" si="1"/>
        <v>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06" t="s">
        <v>185</v>
      </c>
      <c r="C7" s="65">
        <f t="shared" ref="C7:N7" si="2">C5-C6</f>
        <v>0</v>
      </c>
      <c r="D7" s="65">
        <f t="shared" si="2"/>
        <v>0</v>
      </c>
      <c r="E7" s="65">
        <f t="shared" si="2"/>
        <v>0</v>
      </c>
      <c r="F7" s="65">
        <f t="shared" si="2"/>
        <v>0</v>
      </c>
      <c r="G7" s="65">
        <f t="shared" si="2"/>
        <v>0</v>
      </c>
      <c r="H7" s="65">
        <f t="shared" si="2"/>
        <v>0</v>
      </c>
      <c r="I7" s="65">
        <f t="shared" si="2"/>
        <v>0</v>
      </c>
      <c r="J7" s="65">
        <f t="shared" si="2"/>
        <v>0</v>
      </c>
      <c r="K7" s="65">
        <f t="shared" si="2"/>
        <v>0</v>
      </c>
      <c r="L7" s="65">
        <f t="shared" si="2"/>
        <v>0</v>
      </c>
      <c r="M7" s="65">
        <f t="shared" si="2"/>
        <v>0</v>
      </c>
      <c r="N7" s="65">
        <f t="shared" si="2"/>
        <v>0</v>
      </c>
      <c r="O7" s="374">
        <f t="shared" si="1"/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06" t="s">
        <v>254</v>
      </c>
      <c r="C8" s="96">
        <f t="shared" ref="C8:O8" si="3">IF(C5=0,0,C7/C5)</f>
        <v>0</v>
      </c>
      <c r="D8" s="96">
        <f t="shared" si="3"/>
        <v>0</v>
      </c>
      <c r="E8" s="96">
        <f t="shared" si="3"/>
        <v>0</v>
      </c>
      <c r="F8" s="96">
        <f t="shared" si="3"/>
        <v>0</v>
      </c>
      <c r="G8" s="96">
        <f t="shared" si="3"/>
        <v>0</v>
      </c>
      <c r="H8" s="96">
        <f t="shared" si="3"/>
        <v>0</v>
      </c>
      <c r="I8" s="96">
        <f t="shared" si="3"/>
        <v>0</v>
      </c>
      <c r="J8" s="96">
        <f t="shared" si="3"/>
        <v>0</v>
      </c>
      <c r="K8" s="96">
        <f t="shared" si="3"/>
        <v>0</v>
      </c>
      <c r="L8" s="96">
        <f t="shared" si="3"/>
        <v>0</v>
      </c>
      <c r="M8" s="96">
        <f t="shared" si="3"/>
        <v>0</v>
      </c>
      <c r="N8" s="96">
        <f t="shared" si="3"/>
        <v>0</v>
      </c>
      <c r="O8" s="375">
        <f t="shared" si="3"/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06" t="s">
        <v>208</v>
      </c>
      <c r="C9" s="52">
        <f>'4月'!C30</f>
        <v>0</v>
      </c>
      <c r="D9" s="52">
        <f>'5月'!C30</f>
        <v>0</v>
      </c>
      <c r="E9" s="52">
        <f>'6月'!C30</f>
        <v>14433.83333</v>
      </c>
      <c r="F9" s="52">
        <f>'7月'!C30</f>
        <v>14433.83333</v>
      </c>
      <c r="G9" s="52">
        <f>'8月'!C30</f>
        <v>241729.2333</v>
      </c>
      <c r="H9" s="52">
        <f>'9月'!C30</f>
        <v>241729.2333</v>
      </c>
      <c r="I9" s="52">
        <f>'10月'!C30</f>
        <v>312176.9333</v>
      </c>
      <c r="J9" s="52">
        <f>'11月'!C30</f>
        <v>312176.9333</v>
      </c>
      <c r="K9" s="52">
        <f>'12月'!C30</f>
        <v>312176.9333</v>
      </c>
      <c r="L9" s="52">
        <f>'1月'!C30</f>
        <v>312176.9333</v>
      </c>
      <c r="M9" s="52">
        <f>'2月'!C30</f>
        <v>312176.9333</v>
      </c>
      <c r="N9" s="52">
        <f>'3月'!C30</f>
        <v>312176.9333</v>
      </c>
      <c r="O9" s="374">
        <f t="shared" ref="O9:O11" si="4">SUM(C9:N9)</f>
        <v>2385387.733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06" t="s">
        <v>603</v>
      </c>
      <c r="C10" s="52">
        <f>'4月'!C54</f>
        <v>0</v>
      </c>
      <c r="D10" s="52">
        <f>'5月'!C54</f>
        <v>114000</v>
      </c>
      <c r="E10" s="52">
        <f>'6月'!C54</f>
        <v>318888</v>
      </c>
      <c r="F10" s="52">
        <f>'7月'!C54</f>
        <v>85790</v>
      </c>
      <c r="G10" s="52">
        <f>'8月'!C54</f>
        <v>2800000</v>
      </c>
      <c r="H10" s="52">
        <f>'9月'!C54</f>
        <v>0</v>
      </c>
      <c r="I10" s="52">
        <f>'10月'!C54</f>
        <v>0</v>
      </c>
      <c r="J10" s="52">
        <f>'11月'!C54</f>
        <v>0</v>
      </c>
      <c r="K10" s="52">
        <f>'12月'!C54</f>
        <v>0</v>
      </c>
      <c r="L10" s="52">
        <f>'1月'!C54</f>
        <v>0</v>
      </c>
      <c r="M10" s="52">
        <f>'2月'!C54</f>
        <v>0</v>
      </c>
      <c r="N10" s="52">
        <f>'3月'!C54</f>
        <v>0</v>
      </c>
      <c r="O10" s="374">
        <f t="shared" si="4"/>
        <v>3318678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06" t="s">
        <v>223</v>
      </c>
      <c r="C11" s="369">
        <f t="shared" ref="C11:N11" si="5">C7-C9-C10</f>
        <v>0</v>
      </c>
      <c r="D11" s="369">
        <f t="shared" si="5"/>
        <v>-114000</v>
      </c>
      <c r="E11" s="369">
        <f t="shared" si="5"/>
        <v>-333321.8333</v>
      </c>
      <c r="F11" s="369">
        <f t="shared" si="5"/>
        <v>-100223.8333</v>
      </c>
      <c r="G11" s="369">
        <f t="shared" si="5"/>
        <v>-3041729.233</v>
      </c>
      <c r="H11" s="369">
        <f t="shared" si="5"/>
        <v>-241729.2333</v>
      </c>
      <c r="I11" s="369">
        <f t="shared" si="5"/>
        <v>-312176.9333</v>
      </c>
      <c r="J11" s="369">
        <f t="shared" si="5"/>
        <v>-312176.9333</v>
      </c>
      <c r="K11" s="369">
        <f t="shared" si="5"/>
        <v>-312176.9333</v>
      </c>
      <c r="L11" s="369">
        <f t="shared" si="5"/>
        <v>-312176.9333</v>
      </c>
      <c r="M11" s="369">
        <f t="shared" si="5"/>
        <v>-312176.9333</v>
      </c>
      <c r="N11" s="369">
        <f t="shared" si="5"/>
        <v>-312176.9333</v>
      </c>
      <c r="O11" s="374">
        <f t="shared" si="4"/>
        <v>-5704065.733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06" t="s">
        <v>226</v>
      </c>
      <c r="C12" s="96">
        <f t="shared" ref="C12:O12" si="6">IF(C5=0,0,C11/C5)</f>
        <v>0</v>
      </c>
      <c r="D12" s="96">
        <f t="shared" si="6"/>
        <v>0</v>
      </c>
      <c r="E12" s="96">
        <f t="shared" si="6"/>
        <v>0</v>
      </c>
      <c r="F12" s="96">
        <f t="shared" si="6"/>
        <v>0</v>
      </c>
      <c r="G12" s="96">
        <f t="shared" si="6"/>
        <v>0</v>
      </c>
      <c r="H12" s="96">
        <f t="shared" si="6"/>
        <v>0</v>
      </c>
      <c r="I12" s="96">
        <f t="shared" si="6"/>
        <v>0</v>
      </c>
      <c r="J12" s="96">
        <f t="shared" si="6"/>
        <v>0</v>
      </c>
      <c r="K12" s="96">
        <f t="shared" si="6"/>
        <v>0</v>
      </c>
      <c r="L12" s="96">
        <f t="shared" si="6"/>
        <v>0</v>
      </c>
      <c r="M12" s="96">
        <f t="shared" si="6"/>
        <v>0</v>
      </c>
      <c r="N12" s="96">
        <f t="shared" si="6"/>
        <v>0</v>
      </c>
      <c r="O12" s="375">
        <f t="shared" si="6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06" t="s">
        <v>815</v>
      </c>
      <c r="C13" s="52">
        <f>'4月'!I75</f>
        <v>0</v>
      </c>
      <c r="D13" s="52">
        <f>'5月'!I75</f>
        <v>2886000</v>
      </c>
      <c r="E13" s="52">
        <f>'6月'!I75</f>
        <v>939612</v>
      </c>
      <c r="F13" s="52">
        <f>'7月'!I75</f>
        <v>3983694</v>
      </c>
      <c r="G13" s="52">
        <f>'8月'!I75</f>
        <v>956398.6</v>
      </c>
      <c r="H13" s="52">
        <f>'9月'!I75</f>
        <v>1729103.2</v>
      </c>
      <c r="I13" s="52">
        <f>'10月'!I75</f>
        <v>1431360.1</v>
      </c>
      <c r="J13" s="52">
        <f>'11月'!I75</f>
        <v>1133617</v>
      </c>
      <c r="K13" s="52">
        <f>'12月'!I75</f>
        <v>835873.9</v>
      </c>
      <c r="L13" s="52">
        <f>'1月'!I75</f>
        <v>538130.8</v>
      </c>
      <c r="M13" s="52">
        <f>'2月'!I75</f>
        <v>240387.7</v>
      </c>
      <c r="N13" s="52">
        <f>'3月'!I75</f>
        <v>-57355.4</v>
      </c>
      <c r="O13" s="374">
        <f>N13</f>
        <v>-57355.4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25" t="s">
        <v>816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56" t="s">
        <v>3</v>
      </c>
      <c r="C16" s="183" t="s">
        <v>468</v>
      </c>
      <c r="D16" s="183" t="s">
        <v>469</v>
      </c>
      <c r="E16" s="183" t="s">
        <v>470</v>
      </c>
      <c r="F16" s="183" t="s">
        <v>471</v>
      </c>
      <c r="G16" s="183" t="s">
        <v>98</v>
      </c>
      <c r="H16" s="183" t="s">
        <v>99</v>
      </c>
      <c r="I16" s="183" t="s">
        <v>100</v>
      </c>
      <c r="J16" s="183" t="s">
        <v>101</v>
      </c>
      <c r="K16" s="183" t="s">
        <v>102</v>
      </c>
      <c r="L16" s="183" t="s">
        <v>103</v>
      </c>
      <c r="M16" s="183" t="s">
        <v>104</v>
      </c>
      <c r="N16" s="183" t="s">
        <v>105</v>
      </c>
      <c r="O16" s="56" t="s">
        <v>106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06" t="s">
        <v>267</v>
      </c>
      <c r="C17" s="52">
        <f>'4月'!I62</f>
        <v>0</v>
      </c>
      <c r="D17" s="52">
        <f>'5月'!I62</f>
        <v>0</v>
      </c>
      <c r="E17" s="52">
        <f>'6月'!I62</f>
        <v>0</v>
      </c>
      <c r="F17" s="52">
        <f>'7月'!I62</f>
        <v>0</v>
      </c>
      <c r="G17" s="52">
        <f>'8月'!I62</f>
        <v>-227295.4</v>
      </c>
      <c r="H17" s="52">
        <f>'9月'!I62</f>
        <v>-227295.4</v>
      </c>
      <c r="I17" s="52">
        <f>'10月'!I62</f>
        <v>-297743.1</v>
      </c>
      <c r="J17" s="52">
        <f>'11月'!I62</f>
        <v>-297743.1</v>
      </c>
      <c r="K17" s="52">
        <f>'12月'!I62</f>
        <v>-297743.1</v>
      </c>
      <c r="L17" s="52">
        <f>'1月'!I62</f>
        <v>-297743.1</v>
      </c>
      <c r="M17" s="52">
        <f>'2月'!I62</f>
        <v>-297743.1</v>
      </c>
      <c r="N17" s="52">
        <f>'3月'!I62</f>
        <v>-297743.1</v>
      </c>
      <c r="O17" s="374">
        <f t="shared" ref="O17:O20" si="7">SUM(C17:N17)</f>
        <v>-2241049.4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06" t="s">
        <v>271</v>
      </c>
      <c r="C18" s="52">
        <f>'4月'!I65</f>
        <v>0</v>
      </c>
      <c r="D18" s="52">
        <f>'5月'!I65</f>
        <v>-114000</v>
      </c>
      <c r="E18" s="52">
        <f>'6月'!I65</f>
        <v>-1946388</v>
      </c>
      <c r="F18" s="52">
        <f>'7月'!I65</f>
        <v>-455918</v>
      </c>
      <c r="G18" s="52">
        <f>'8月'!I65</f>
        <v>-2800000</v>
      </c>
      <c r="H18" s="52">
        <f>'9月'!I65</f>
        <v>0</v>
      </c>
      <c r="I18" s="52">
        <f>'10月'!I65</f>
        <v>0</v>
      </c>
      <c r="J18" s="52">
        <f>'11月'!I65</f>
        <v>0</v>
      </c>
      <c r="K18" s="52">
        <f>'12月'!I65</f>
        <v>0</v>
      </c>
      <c r="L18" s="52">
        <f>'1月'!I65</f>
        <v>0</v>
      </c>
      <c r="M18" s="52">
        <f>'2月'!I65</f>
        <v>0</v>
      </c>
      <c r="N18" s="52">
        <f>'3月'!I65</f>
        <v>0</v>
      </c>
      <c r="O18" s="374">
        <f t="shared" si="7"/>
        <v>-5316306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06" t="s">
        <v>274</v>
      </c>
      <c r="C19" s="52" t="str">
        <f>'4月'!I68</f>
        <v/>
      </c>
      <c r="D19" s="52" t="str">
        <f>'5月'!I68</f>
        <v/>
      </c>
      <c r="E19" s="52" t="str">
        <f>'6月'!I68</f>
        <v/>
      </c>
      <c r="F19" s="52">
        <f>'7月'!I68</f>
        <v>3500000</v>
      </c>
      <c r="G19" s="52" t="str">
        <f>'8月'!I68</f>
        <v/>
      </c>
      <c r="H19" s="52">
        <f>'9月'!I68</f>
        <v>1000000</v>
      </c>
      <c r="I19" s="52" t="str">
        <f>'10月'!I68</f>
        <v/>
      </c>
      <c r="J19" s="52" t="str">
        <f>'11月'!I68</f>
        <v/>
      </c>
      <c r="K19" s="52" t="str">
        <f>'12月'!I68</f>
        <v/>
      </c>
      <c r="L19" s="52" t="str">
        <f>'1月'!I68</f>
        <v/>
      </c>
      <c r="M19" s="52" t="str">
        <f>'2月'!I68</f>
        <v/>
      </c>
      <c r="N19" s="52" t="str">
        <f>'3月'!I68</f>
        <v/>
      </c>
      <c r="O19" s="374">
        <f t="shared" si="7"/>
        <v>4500000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376" t="s">
        <v>817</v>
      </c>
      <c r="C20" s="128">
        <f t="shared" ref="C20:N20" si="8">C17+C18+C19</f>
        <v>0</v>
      </c>
      <c r="D20" s="128">
        <f t="shared" si="8"/>
        <v>-114000</v>
      </c>
      <c r="E20" s="128">
        <f t="shared" si="8"/>
        <v>-1946388</v>
      </c>
      <c r="F20" s="128">
        <f t="shared" si="8"/>
        <v>3044082</v>
      </c>
      <c r="G20" s="128">
        <f t="shared" si="8"/>
        <v>-3027295.4</v>
      </c>
      <c r="H20" s="128">
        <f t="shared" si="8"/>
        <v>772704.6</v>
      </c>
      <c r="I20" s="128">
        <f t="shared" si="8"/>
        <v>-297743.1</v>
      </c>
      <c r="J20" s="128">
        <f t="shared" si="8"/>
        <v>-297743.1</v>
      </c>
      <c r="K20" s="128">
        <f t="shared" si="8"/>
        <v>-297743.1</v>
      </c>
      <c r="L20" s="128">
        <f t="shared" si="8"/>
        <v>-297743.1</v>
      </c>
      <c r="M20" s="128">
        <f t="shared" si="8"/>
        <v>-297743.1</v>
      </c>
      <c r="N20" s="128">
        <f t="shared" si="8"/>
        <v>-297743.1</v>
      </c>
      <c r="O20" s="374">
        <f t="shared" si="7"/>
        <v>-3057355.4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06" t="s">
        <v>770</v>
      </c>
      <c r="C21" s="52">
        <f>'4月'!I75</f>
        <v>0</v>
      </c>
      <c r="D21" s="52">
        <f>'5月'!I75</f>
        <v>2886000</v>
      </c>
      <c r="E21" s="52">
        <f>'6月'!I75</f>
        <v>939612</v>
      </c>
      <c r="F21" s="52">
        <f>'7月'!I75</f>
        <v>3983694</v>
      </c>
      <c r="G21" s="52">
        <f>'8月'!I75</f>
        <v>956398.6</v>
      </c>
      <c r="H21" s="52">
        <f>'9月'!I75</f>
        <v>1729103.2</v>
      </c>
      <c r="I21" s="52">
        <f>'10月'!I75</f>
        <v>1431360.1</v>
      </c>
      <c r="J21" s="52">
        <f>'11月'!I75</f>
        <v>1133617</v>
      </c>
      <c r="K21" s="52">
        <f>'12月'!I75</f>
        <v>835873.9</v>
      </c>
      <c r="L21" s="52">
        <f>'1月'!I75</f>
        <v>538130.8</v>
      </c>
      <c r="M21" s="52">
        <f>'2月'!I75</f>
        <v>240387.7</v>
      </c>
      <c r="N21" s="52">
        <f>'3月'!I75</f>
        <v>-57355.4</v>
      </c>
      <c r="O21" s="374">
        <f>N20</f>
        <v>-297743.1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N1"/>
    <mergeCell ref="B15:O15"/>
  </mergeCells>
  <printOptions/>
  <pageMargins bottom="1.0" footer="0.0" header="0.0" left="0.75" right="0.75" top="1.0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F00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6" width="60.0"/>
  </cols>
  <sheetData>
    <row r="1" ht="17.25" customHeight="1">
      <c r="A1" s="1"/>
      <c r="B1" s="37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378" t="s">
        <v>818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379" t="s">
        <v>819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1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380" t="s">
        <v>820</v>
      </c>
      <c r="C5" s="46"/>
      <c r="D5" s="46"/>
      <c r="E5" s="46"/>
      <c r="F5" s="46"/>
      <c r="G5" s="46"/>
      <c r="H5" s="4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6" t="s">
        <v>821</v>
      </c>
      <c r="C6" s="381" t="s">
        <v>822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382" t="s">
        <v>823</v>
      </c>
      <c r="C7" s="381" t="s">
        <v>824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6" t="s">
        <v>825</v>
      </c>
      <c r="C8" s="381" t="s">
        <v>826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6" t="s">
        <v>827</v>
      </c>
      <c r="C9" s="381" t="s">
        <v>828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6" t="s">
        <v>829</v>
      </c>
      <c r="C10" s="383" t="s">
        <v>830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6" t="s">
        <v>831</v>
      </c>
      <c r="C11" s="381" t="s">
        <v>832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6" t="s">
        <v>833</v>
      </c>
      <c r="C12" s="383" t="s">
        <v>834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6" t="s">
        <v>835</v>
      </c>
      <c r="C13" s="381" t="s">
        <v>836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6" t="s">
        <v>837</v>
      </c>
      <c r="C14" s="381" t="s">
        <v>838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6" t="s">
        <v>839</v>
      </c>
      <c r="C15" s="381" t="s">
        <v>840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6" t="s">
        <v>841</v>
      </c>
      <c r="C16" s="383" t="s">
        <v>842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9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380" t="s">
        <v>843</v>
      </c>
      <c r="C18" s="46"/>
      <c r="D18" s="46"/>
      <c r="E18" s="46"/>
      <c r="F18" s="46"/>
      <c r="G18" s="46"/>
      <c r="H18" s="4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92" t="s">
        <v>844</v>
      </c>
      <c r="C19" s="6" t="s">
        <v>845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92" t="s">
        <v>846</v>
      </c>
      <c r="C20" s="6" t="s">
        <v>847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92" t="s">
        <v>848</v>
      </c>
      <c r="C21" s="6" t="s">
        <v>849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92" t="s">
        <v>850</v>
      </c>
      <c r="C22" s="6" t="s">
        <v>851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92" t="s">
        <v>852</v>
      </c>
      <c r="C23" s="6" t="s">
        <v>853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9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380" t="s">
        <v>854</v>
      </c>
      <c r="C25" s="46"/>
      <c r="D25" s="46"/>
      <c r="E25" s="46"/>
      <c r="F25" s="46"/>
      <c r="G25" s="46"/>
      <c r="H25" s="4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383" t="s">
        <v>855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383" t="s">
        <v>856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383" t="s">
        <v>857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383" t="s">
        <v>858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383" t="s">
        <v>859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383" t="s">
        <v>860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383" t="s">
        <v>861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383" t="s">
        <v>862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383" t="s">
        <v>863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38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383" t="s">
        <v>864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383" t="s">
        <v>865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383" t="s">
        <v>866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383" t="s">
        <v>867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383" t="s">
        <v>868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380"/>
      <c r="C41" s="46"/>
      <c r="D41" s="46"/>
      <c r="E41" s="46"/>
      <c r="F41" s="46"/>
      <c r="G41" s="46"/>
      <c r="H41" s="4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6" t="s">
        <v>869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381" t="s">
        <v>870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381" t="s">
        <v>871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381" t="s">
        <v>872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6" t="s">
        <v>873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381" t="s">
        <v>874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38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6" t="s">
        <v>875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381" t="s">
        <v>876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381" t="s">
        <v>877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381" t="s">
        <v>878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383" t="s">
        <v>879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381" t="s">
        <v>880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381" t="s">
        <v>881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38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6" t="s">
        <v>882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381" t="s">
        <v>883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381" t="s">
        <v>884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381" t="s">
        <v>885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1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380" t="s">
        <v>886</v>
      </c>
      <c r="C62" s="46"/>
      <c r="D62" s="46"/>
      <c r="E62" s="46"/>
      <c r="F62" s="46"/>
      <c r="G62" s="46"/>
      <c r="H62" s="4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384" t="s">
        <v>887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384" t="s">
        <v>888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384" t="s">
        <v>889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384" t="s">
        <v>890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385" t="s">
        <v>891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384" t="s">
        <v>892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384" t="s">
        <v>893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384" t="s">
        <v>894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9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380" t="s">
        <v>895</v>
      </c>
      <c r="C72" s="46"/>
      <c r="D72" s="46"/>
      <c r="E72" s="46"/>
      <c r="F72" s="46"/>
      <c r="G72" s="46"/>
      <c r="H72" s="4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38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6" t="s">
        <v>896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381" t="s">
        <v>897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381" t="s">
        <v>898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381" t="s">
        <v>899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38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6" t="s">
        <v>900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381" t="s">
        <v>901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381" t="s">
        <v>902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381" t="s">
        <v>903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38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6" t="s">
        <v>904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381" t="s">
        <v>905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380" t="s">
        <v>906</v>
      </c>
      <c r="C87" s="46"/>
      <c r="D87" s="46"/>
      <c r="E87" s="46"/>
      <c r="F87" s="46"/>
      <c r="G87" s="46"/>
      <c r="H87" s="4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6" t="s">
        <v>907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381" t="s">
        <v>908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381" t="s">
        <v>909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381" t="s">
        <v>910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38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6" t="s">
        <v>911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381" t="s">
        <v>912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381" t="s">
        <v>913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381" t="s">
        <v>914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381" t="s">
        <v>915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381" t="s">
        <v>916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38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6" t="s">
        <v>917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381" t="s">
        <v>918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381" t="s">
        <v>919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381" t="s">
        <v>920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381" t="s">
        <v>921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381" t="s">
        <v>922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381" t="s">
        <v>923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38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6" t="s">
        <v>924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381" t="s">
        <v>925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381" t="s">
        <v>926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381" t="s">
        <v>927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381" t="s">
        <v>928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381" t="s">
        <v>929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5:H5"/>
    <mergeCell ref="B18:H18"/>
    <mergeCell ref="B25:H25"/>
    <mergeCell ref="B41:H41"/>
    <mergeCell ref="B62:H62"/>
    <mergeCell ref="B72:H72"/>
    <mergeCell ref="B87:H87"/>
  </mergeCells>
  <printOptions/>
  <pageMargins bottom="1.0" footer="0.0" header="0.0" left="0.75" right="0.75" top="1.0"/>
  <pageSetup paperSize="9" orientation="portrait"/>
  <drawing r:id="rId1"/>
</worksheet>
</file>